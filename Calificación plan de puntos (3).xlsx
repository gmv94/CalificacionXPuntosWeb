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ipel\Downloads\"/>
    </mc:Choice>
  </mc:AlternateContent>
  <xr:revisionPtr revIDLastSave="0" documentId="13_ncr:1_{298354B1-82AC-453B-8611-2960018ABC61}" xr6:coauthVersionLast="47" xr6:coauthVersionMax="47" xr10:uidLastSave="{00000000-0000-0000-0000-000000000000}"/>
  <bookViews>
    <workbookView xWindow="-108" yWindow="-108" windowWidth="23256" windowHeight="12456" firstSheet="1" activeTab="5" xr2:uid="{84CCBDD7-41BE-479D-AAAC-4C4A03FA6F21}"/>
  </bookViews>
  <sheets>
    <sheet name="Ficha de datos" sheetId="1" state="hidden" r:id="rId1"/>
    <sheet name="Tabla Calif. Puntos" sheetId="4" r:id="rId2"/>
    <sheet name="Puntos acumulados" sheetId="5" r:id="rId3"/>
    <sheet name="Tabla Premios" sheetId="3" r:id="rId4"/>
    <sheet name="Redención Puntos" sheetId="7" r:id="rId5"/>
    <sheet name="Notificaciones" sheetId="6" r:id="rId6"/>
  </sheets>
  <definedNames>
    <definedName name="_xlnm._FilterDatabase" localSheetId="2" hidden="1">'Puntos acumulados'!$A$1:$D$87</definedName>
  </definedNames>
  <calcPr calcId="191028"/>
  <pivotCaches>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4" l="1"/>
  <c r="D12" i="7"/>
  <c r="I12" i="7"/>
  <c r="B11" i="7"/>
  <c r="B10" i="7"/>
  <c r="B9" i="7"/>
  <c r="B8" i="7"/>
  <c r="B7" i="7"/>
  <c r="B6" i="7"/>
  <c r="B5" i="7"/>
  <c r="B4" i="7"/>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8" i="5"/>
  <c r="D59" i="5"/>
  <c r="D60" i="5"/>
  <c r="D61" i="5"/>
  <c r="D62" i="5"/>
  <c r="D63" i="5"/>
  <c r="D64" i="5"/>
  <c r="D65" i="5"/>
  <c r="D66" i="5"/>
  <c r="D67" i="5"/>
  <c r="D68" i="5"/>
  <c r="D69" i="5"/>
  <c r="D70" i="5"/>
  <c r="D71" i="5"/>
  <c r="D72" i="5"/>
  <c r="D73" i="5"/>
  <c r="D74" i="5"/>
  <c r="D75" i="5"/>
  <c r="D76" i="5"/>
  <c r="D77" i="5"/>
  <c r="D78" i="5"/>
  <c r="D79" i="5"/>
  <c r="D80" i="5"/>
  <c r="D81" i="5"/>
  <c r="D82" i="5"/>
  <c r="D83" i="5"/>
  <c r="D85" i="5"/>
  <c r="D2" i="5"/>
  <c r="I167" i="6" l="1"/>
  <c r="I172" i="6"/>
  <c r="I166" i="6"/>
  <c r="I170" i="6"/>
  <c r="I169" i="6"/>
  <c r="I174" i="6"/>
  <c r="I168" i="6"/>
  <c r="I171" i="6"/>
  <c r="I173" i="6"/>
  <c r="I165" i="6"/>
  <c r="N14" i="4"/>
  <c r="N15" i="4"/>
  <c r="N16" i="4"/>
  <c r="O14" i="4"/>
  <c r="O15" i="4"/>
  <c r="O16" i="4"/>
  <c r="P14" i="4"/>
  <c r="P15" i="4"/>
  <c r="P16" i="4"/>
  <c r="Q14" i="4"/>
  <c r="Q15" i="4"/>
  <c r="Q16" i="4"/>
  <c r="N7" i="4"/>
  <c r="N8" i="4"/>
  <c r="N9" i="4"/>
  <c r="N10" i="4"/>
  <c r="N11" i="4"/>
  <c r="N12" i="4"/>
  <c r="N13" i="4"/>
  <c r="O7" i="4"/>
  <c r="O8" i="4"/>
  <c r="O9" i="4"/>
  <c r="O11" i="4"/>
  <c r="O12" i="4"/>
  <c r="O13" i="4"/>
  <c r="P7" i="4"/>
  <c r="P8" i="4"/>
  <c r="P9" i="4"/>
  <c r="P10" i="4"/>
  <c r="P11" i="4"/>
  <c r="P12" i="4"/>
  <c r="P13" i="4"/>
  <c r="Q7" i="4"/>
  <c r="Q8" i="4"/>
  <c r="Q9" i="4"/>
  <c r="Q10" i="4"/>
  <c r="Q11" i="4"/>
  <c r="Q12" i="4"/>
  <c r="Q13" i="4"/>
  <c r="N6" i="4"/>
  <c r="O6" i="4"/>
  <c r="P6" i="4"/>
  <c r="Q6" i="4"/>
  <c r="N5" i="4"/>
  <c r="O5" i="4"/>
  <c r="P5" i="4"/>
  <c r="Q5" i="4"/>
  <c r="D175" i="6"/>
  <c r="N170" i="4"/>
  <c r="N171" i="4"/>
  <c r="N172" i="4"/>
  <c r="N173" i="4"/>
  <c r="N174" i="4"/>
  <c r="O170" i="4"/>
  <c r="O171" i="4"/>
  <c r="O172" i="4"/>
  <c r="O173" i="4"/>
  <c r="O174" i="4"/>
  <c r="P170" i="4"/>
  <c r="P171" i="4"/>
  <c r="P172" i="4"/>
  <c r="P173" i="4"/>
  <c r="P174" i="4"/>
  <c r="Q170" i="4"/>
  <c r="Q171" i="4"/>
  <c r="Q172" i="4"/>
  <c r="Q173" i="4"/>
  <c r="Q174" i="4"/>
  <c r="N157" i="4"/>
  <c r="N158" i="4"/>
  <c r="N159" i="4"/>
  <c r="N160" i="4"/>
  <c r="N161" i="4"/>
  <c r="N162" i="4"/>
  <c r="N163" i="4"/>
  <c r="N164" i="4"/>
  <c r="N165" i="4"/>
  <c r="N166" i="4"/>
  <c r="N43" i="4"/>
  <c r="N168" i="4"/>
  <c r="N169" i="4"/>
  <c r="O157" i="4"/>
  <c r="O158" i="4"/>
  <c r="O159" i="4"/>
  <c r="O160" i="4"/>
  <c r="O161" i="4"/>
  <c r="O162" i="4"/>
  <c r="O163" i="4"/>
  <c r="O164" i="4"/>
  <c r="O165" i="4"/>
  <c r="O166" i="4"/>
  <c r="O43" i="4"/>
  <c r="O168" i="4"/>
  <c r="O169" i="4"/>
  <c r="P157" i="4"/>
  <c r="P158" i="4"/>
  <c r="P159" i="4"/>
  <c r="P160" i="4"/>
  <c r="P161" i="4"/>
  <c r="P162" i="4"/>
  <c r="P163" i="4"/>
  <c r="P164" i="4"/>
  <c r="P165" i="4"/>
  <c r="P166" i="4"/>
  <c r="P43" i="4"/>
  <c r="P168" i="4"/>
  <c r="P169" i="4"/>
  <c r="Q157" i="4"/>
  <c r="Q158" i="4"/>
  <c r="Q159" i="4"/>
  <c r="Q160" i="4"/>
  <c r="Q161" i="4"/>
  <c r="Q162" i="4"/>
  <c r="Q163" i="4"/>
  <c r="Q164" i="4"/>
  <c r="Q165" i="4"/>
  <c r="Q166" i="4"/>
  <c r="Q43" i="4"/>
  <c r="Q168" i="4"/>
  <c r="Q169" i="4"/>
  <c r="N156" i="4"/>
  <c r="O156" i="4"/>
  <c r="P156" i="4"/>
  <c r="Q156" i="4"/>
  <c r="F130" i="4"/>
  <c r="Q23" i="4"/>
  <c r="P23" i="4"/>
  <c r="O23" i="4"/>
  <c r="N23" i="4"/>
  <c r="I164" i="6" l="1"/>
  <c r="R15" i="4"/>
  <c r="R14" i="4"/>
  <c r="R16" i="4"/>
  <c r="R11" i="4"/>
  <c r="R13" i="4"/>
  <c r="R7" i="4"/>
  <c r="R8" i="4"/>
  <c r="R9" i="4"/>
  <c r="R10" i="4"/>
  <c r="R12" i="4"/>
  <c r="R6" i="4"/>
  <c r="R5" i="4"/>
  <c r="I163" i="6"/>
  <c r="R169" i="4"/>
  <c r="R165" i="4"/>
  <c r="R166" i="4"/>
  <c r="R172" i="4"/>
  <c r="R171" i="4"/>
  <c r="R170" i="4"/>
  <c r="R174" i="4"/>
  <c r="R173" i="4"/>
  <c r="I91" i="6"/>
  <c r="I56" i="6"/>
  <c r="I73" i="6"/>
  <c r="I67" i="6"/>
  <c r="I50" i="6"/>
  <c r="I101" i="6"/>
  <c r="I88" i="6"/>
  <c r="I85" i="6"/>
  <c r="I83" i="6"/>
  <c r="I74" i="6"/>
  <c r="I69" i="6"/>
  <c r="I137" i="6"/>
  <c r="I66" i="6"/>
  <c r="I130" i="6"/>
  <c r="I124" i="6"/>
  <c r="I70" i="6"/>
  <c r="I65" i="6"/>
  <c r="I64" i="6"/>
  <c r="I126" i="6"/>
  <c r="I122" i="6"/>
  <c r="I100" i="6"/>
  <c r="I99" i="6"/>
  <c r="I97" i="6"/>
  <c r="I96" i="6"/>
  <c r="I94" i="6"/>
  <c r="I89" i="6"/>
  <c r="I136" i="6"/>
  <c r="I87" i="6"/>
  <c r="I82" i="6"/>
  <c r="I81" i="6"/>
  <c r="I79" i="6"/>
  <c r="I78" i="6"/>
  <c r="I76" i="6"/>
  <c r="I71" i="6"/>
  <c r="I75" i="6"/>
  <c r="I90" i="6"/>
  <c r="I86" i="6"/>
  <c r="I72" i="6"/>
  <c r="I68" i="6"/>
  <c r="I55" i="6"/>
  <c r="I53" i="6"/>
  <c r="I140" i="6"/>
  <c r="I138" i="6"/>
  <c r="I92" i="6"/>
  <c r="I133" i="6"/>
  <c r="I141" i="6"/>
  <c r="I98" i="6"/>
  <c r="I84" i="6"/>
  <c r="I80" i="6"/>
  <c r="I125" i="6"/>
  <c r="I93" i="6"/>
  <c r="I95" i="6"/>
  <c r="I77" i="6"/>
  <c r="I119" i="6"/>
  <c r="I159" i="6"/>
  <c r="I158" i="6"/>
  <c r="I162" i="6"/>
  <c r="I161" i="6"/>
  <c r="I160" i="6"/>
  <c r="I157" i="6"/>
  <c r="I148" i="6"/>
  <c r="I151" i="6"/>
  <c r="I146" i="6"/>
  <c r="I156" i="6"/>
  <c r="I154" i="6"/>
  <c r="I152" i="6"/>
  <c r="I153" i="6"/>
  <c r="I149" i="6"/>
  <c r="I147" i="6"/>
  <c r="I145" i="6"/>
  <c r="I150" i="6"/>
  <c r="I155" i="6"/>
  <c r="R164" i="4"/>
  <c r="R163" i="4"/>
  <c r="I144" i="6"/>
  <c r="R162" i="4"/>
  <c r="R168" i="4"/>
  <c r="R158" i="4"/>
  <c r="R157" i="4"/>
  <c r="R160" i="4"/>
  <c r="R161" i="4"/>
  <c r="R43" i="4"/>
  <c r="R159" i="4"/>
  <c r="R156" i="4"/>
  <c r="R23" i="4"/>
  <c r="F135" i="4"/>
  <c r="B3" i="7"/>
  <c r="F8" i="7" l="1"/>
  <c r="H8" i="7" s="1"/>
  <c r="F4" i="7"/>
  <c r="H4" i="7" s="1"/>
  <c r="B2" i="7"/>
  <c r="I129" i="6" l="1"/>
  <c r="I132" i="6"/>
  <c r="I134" i="6"/>
  <c r="I135" i="6"/>
  <c r="I34" i="6"/>
  <c r="I139" i="6"/>
  <c r="I38" i="6"/>
  <c r="N130" i="4"/>
  <c r="N131" i="4"/>
  <c r="N132" i="4"/>
  <c r="N133" i="4"/>
  <c r="N134" i="4"/>
  <c r="N135" i="4"/>
  <c r="N136" i="4"/>
  <c r="N137" i="4"/>
  <c r="N138" i="4"/>
  <c r="N139" i="4"/>
  <c r="N140" i="4"/>
  <c r="N141" i="4"/>
  <c r="N142" i="4"/>
  <c r="N19" i="4"/>
  <c r="N144" i="4"/>
  <c r="N145" i="4"/>
  <c r="N143" i="4"/>
  <c r="N120" i="4"/>
  <c r="N148" i="4"/>
  <c r="N149" i="4"/>
  <c r="N150" i="4"/>
  <c r="N146" i="4"/>
  <c r="N152" i="4"/>
  <c r="N153" i="4"/>
  <c r="N154" i="4"/>
  <c r="N147" i="4"/>
  <c r="O130" i="4"/>
  <c r="O131" i="4"/>
  <c r="O132" i="4"/>
  <c r="O133" i="4"/>
  <c r="O134" i="4"/>
  <c r="O135" i="4"/>
  <c r="O136" i="4"/>
  <c r="O137" i="4"/>
  <c r="O138" i="4"/>
  <c r="O139" i="4"/>
  <c r="O140" i="4"/>
  <c r="O141" i="4"/>
  <c r="O142" i="4"/>
  <c r="O19" i="4"/>
  <c r="O144" i="4"/>
  <c r="O145" i="4"/>
  <c r="O143" i="4"/>
  <c r="O120" i="4"/>
  <c r="O148" i="4"/>
  <c r="O149" i="4"/>
  <c r="O150" i="4"/>
  <c r="O146" i="4"/>
  <c r="O152" i="4"/>
  <c r="O153" i="4"/>
  <c r="O154" i="4"/>
  <c r="O147" i="4"/>
  <c r="P130" i="4"/>
  <c r="P131" i="4"/>
  <c r="P132" i="4"/>
  <c r="P133" i="4"/>
  <c r="P134" i="4"/>
  <c r="P135" i="4"/>
  <c r="P136" i="4"/>
  <c r="P137" i="4"/>
  <c r="P138" i="4"/>
  <c r="P139" i="4"/>
  <c r="P140" i="4"/>
  <c r="P141" i="4"/>
  <c r="P142" i="4"/>
  <c r="P19" i="4"/>
  <c r="P144" i="4"/>
  <c r="P145" i="4"/>
  <c r="P143" i="4"/>
  <c r="P120" i="4"/>
  <c r="P148" i="4"/>
  <c r="P149" i="4"/>
  <c r="P150" i="4"/>
  <c r="P146" i="4"/>
  <c r="P152" i="4"/>
  <c r="P153" i="4"/>
  <c r="P154" i="4"/>
  <c r="P147" i="4"/>
  <c r="Q130" i="4"/>
  <c r="Q131" i="4"/>
  <c r="Q132" i="4"/>
  <c r="Q133" i="4"/>
  <c r="Q134" i="4"/>
  <c r="Q135" i="4"/>
  <c r="Q136" i="4"/>
  <c r="Q137" i="4"/>
  <c r="Q138" i="4"/>
  <c r="Q139" i="4"/>
  <c r="Q140" i="4"/>
  <c r="Q141" i="4"/>
  <c r="Q142" i="4"/>
  <c r="Q19" i="4"/>
  <c r="Q144" i="4"/>
  <c r="Q145" i="4"/>
  <c r="Q143" i="4"/>
  <c r="Q120" i="4"/>
  <c r="Q148" i="4"/>
  <c r="Q149" i="4"/>
  <c r="Q150" i="4"/>
  <c r="Q146" i="4"/>
  <c r="Q152" i="4"/>
  <c r="Q153" i="4"/>
  <c r="Q154" i="4"/>
  <c r="Q147" i="4"/>
  <c r="N122" i="4"/>
  <c r="N123" i="4"/>
  <c r="N124" i="4"/>
  <c r="N125" i="4"/>
  <c r="N126" i="4"/>
  <c r="N127" i="4"/>
  <c r="N128" i="4"/>
  <c r="N129" i="4"/>
  <c r="O122" i="4"/>
  <c r="O123" i="4"/>
  <c r="O124" i="4"/>
  <c r="O125" i="4"/>
  <c r="O126" i="4"/>
  <c r="O127" i="4"/>
  <c r="O128" i="4"/>
  <c r="O129" i="4"/>
  <c r="P122" i="4"/>
  <c r="P123" i="4"/>
  <c r="P124" i="4"/>
  <c r="P125" i="4"/>
  <c r="P126" i="4"/>
  <c r="P127" i="4"/>
  <c r="P128" i="4"/>
  <c r="P129" i="4"/>
  <c r="Q122" i="4"/>
  <c r="Q123" i="4"/>
  <c r="Q124" i="4"/>
  <c r="Q125" i="4"/>
  <c r="Q126" i="4"/>
  <c r="Q127" i="4"/>
  <c r="Q128" i="4"/>
  <c r="Q129" i="4"/>
  <c r="N116" i="4"/>
  <c r="N117" i="4"/>
  <c r="N118" i="4"/>
  <c r="N119" i="4"/>
  <c r="N167" i="4"/>
  <c r="N121" i="4"/>
  <c r="O116" i="4"/>
  <c r="O117" i="4"/>
  <c r="O118" i="4"/>
  <c r="O119" i="4"/>
  <c r="O167" i="4"/>
  <c r="O121" i="4"/>
  <c r="P116" i="4"/>
  <c r="P117" i="4"/>
  <c r="P118" i="4"/>
  <c r="P119" i="4"/>
  <c r="P167" i="4"/>
  <c r="P121" i="4"/>
  <c r="Q116" i="4"/>
  <c r="Q117" i="4"/>
  <c r="Q118" i="4"/>
  <c r="Q119" i="4"/>
  <c r="Q167" i="4"/>
  <c r="Q121" i="4"/>
  <c r="N96" i="4"/>
  <c r="N97" i="4"/>
  <c r="N98" i="4"/>
  <c r="N99" i="4"/>
  <c r="N100" i="4"/>
  <c r="N101" i="4"/>
  <c r="N102" i="4"/>
  <c r="N104" i="4"/>
  <c r="N105" i="4"/>
  <c r="N106" i="4"/>
  <c r="N110" i="4"/>
  <c r="N108" i="4"/>
  <c r="N109" i="4"/>
  <c r="N151" i="4"/>
  <c r="N111" i="4"/>
  <c r="N112" i="4"/>
  <c r="N113" i="4"/>
  <c r="N114" i="4"/>
  <c r="N115" i="4"/>
  <c r="O96" i="4"/>
  <c r="O97" i="4"/>
  <c r="O98" i="4"/>
  <c r="O99" i="4"/>
  <c r="O100" i="4"/>
  <c r="O101" i="4"/>
  <c r="O102" i="4"/>
  <c r="O104" i="4"/>
  <c r="O105" i="4"/>
  <c r="O106" i="4"/>
  <c r="O110" i="4"/>
  <c r="O108" i="4"/>
  <c r="O109" i="4"/>
  <c r="O151" i="4"/>
  <c r="O111" i="4"/>
  <c r="O112" i="4"/>
  <c r="O113" i="4"/>
  <c r="O114" i="4"/>
  <c r="O115" i="4"/>
  <c r="P96" i="4"/>
  <c r="P97" i="4"/>
  <c r="P98" i="4"/>
  <c r="P99" i="4"/>
  <c r="P100" i="4"/>
  <c r="P101" i="4"/>
  <c r="P102" i="4"/>
  <c r="P104" i="4"/>
  <c r="P105" i="4"/>
  <c r="P106" i="4"/>
  <c r="P110" i="4"/>
  <c r="P108" i="4"/>
  <c r="P109" i="4"/>
  <c r="P151" i="4"/>
  <c r="P111" i="4"/>
  <c r="P112" i="4"/>
  <c r="P113" i="4"/>
  <c r="P114" i="4"/>
  <c r="P115" i="4"/>
  <c r="Q96" i="4"/>
  <c r="Q97" i="4"/>
  <c r="Q98" i="4"/>
  <c r="Q99" i="4"/>
  <c r="Q100" i="4"/>
  <c r="Q101" i="4"/>
  <c r="Q102" i="4"/>
  <c r="Q104" i="4"/>
  <c r="Q105" i="4"/>
  <c r="Q106" i="4"/>
  <c r="Q110" i="4"/>
  <c r="Q108" i="4"/>
  <c r="Q109" i="4"/>
  <c r="Q151" i="4"/>
  <c r="Q111" i="4"/>
  <c r="Q112" i="4"/>
  <c r="Q113" i="4"/>
  <c r="Q114" i="4"/>
  <c r="Q115" i="4"/>
  <c r="N78" i="4"/>
  <c r="N79" i="4"/>
  <c r="N80" i="4"/>
  <c r="N81" i="4"/>
  <c r="N82" i="4"/>
  <c r="N83" i="4"/>
  <c r="N84" i="4"/>
  <c r="N85" i="4"/>
  <c r="N86" i="4"/>
  <c r="N87" i="4"/>
  <c r="N88" i="4"/>
  <c r="N89" i="4"/>
  <c r="N90" i="4"/>
  <c r="N91" i="4"/>
  <c r="N92" i="4"/>
  <c r="N93" i="4"/>
  <c r="N94" i="4"/>
  <c r="N95" i="4"/>
  <c r="O78" i="4"/>
  <c r="O79" i="4"/>
  <c r="O80" i="4"/>
  <c r="O81" i="4"/>
  <c r="O82" i="4"/>
  <c r="O83" i="4"/>
  <c r="O84" i="4"/>
  <c r="O85" i="4"/>
  <c r="O86" i="4"/>
  <c r="O87" i="4"/>
  <c r="O88" i="4"/>
  <c r="O89" i="4"/>
  <c r="O90" i="4"/>
  <c r="O91" i="4"/>
  <c r="O92" i="4"/>
  <c r="O93" i="4"/>
  <c r="O94" i="4"/>
  <c r="O95" i="4"/>
  <c r="P78" i="4"/>
  <c r="P79" i="4"/>
  <c r="P80" i="4"/>
  <c r="P81" i="4"/>
  <c r="P82" i="4"/>
  <c r="P83" i="4"/>
  <c r="P84" i="4"/>
  <c r="P85" i="4"/>
  <c r="P86" i="4"/>
  <c r="P87" i="4"/>
  <c r="P88" i="4"/>
  <c r="P89" i="4"/>
  <c r="P90" i="4"/>
  <c r="P91" i="4"/>
  <c r="P92" i="4"/>
  <c r="P93" i="4"/>
  <c r="P94" i="4"/>
  <c r="P95" i="4"/>
  <c r="Q78" i="4"/>
  <c r="Q79" i="4"/>
  <c r="Q80" i="4"/>
  <c r="Q82" i="4"/>
  <c r="Q83" i="4"/>
  <c r="Q84" i="4"/>
  <c r="Q85" i="4"/>
  <c r="Q86" i="4"/>
  <c r="Q87" i="4"/>
  <c r="Q88" i="4"/>
  <c r="Q89" i="4"/>
  <c r="Q90" i="4"/>
  <c r="Q91" i="4"/>
  <c r="Q92" i="4"/>
  <c r="Q93" i="4"/>
  <c r="Q94" i="4"/>
  <c r="Q95" i="4"/>
  <c r="I143" i="6" l="1"/>
  <c r="I33" i="6"/>
  <c r="I28" i="6"/>
  <c r="I131" i="6"/>
  <c r="I23" i="6"/>
  <c r="I41" i="6"/>
  <c r="I128" i="6"/>
  <c r="I127" i="6"/>
  <c r="I121" i="6"/>
  <c r="I21" i="6"/>
  <c r="I32" i="6"/>
  <c r="I27" i="6"/>
  <c r="I44" i="6"/>
  <c r="I118" i="6"/>
  <c r="I26" i="6"/>
  <c r="I120" i="6"/>
  <c r="I37" i="6"/>
  <c r="I123" i="6"/>
  <c r="I42" i="6"/>
  <c r="R141" i="4"/>
  <c r="R133" i="4"/>
  <c r="R153" i="4"/>
  <c r="R134" i="4"/>
  <c r="R136" i="4"/>
  <c r="R138" i="4"/>
  <c r="R150" i="4"/>
  <c r="R144" i="4"/>
  <c r="R132" i="4"/>
  <c r="R120" i="4"/>
  <c r="R135" i="4"/>
  <c r="R152" i="4"/>
  <c r="R147" i="4"/>
  <c r="R154" i="4"/>
  <c r="R148" i="4"/>
  <c r="R142" i="4"/>
  <c r="R130" i="4"/>
  <c r="R143" i="4"/>
  <c r="R149" i="4"/>
  <c r="R131" i="4"/>
  <c r="R140" i="4"/>
  <c r="R19" i="4"/>
  <c r="R137" i="4"/>
  <c r="R146" i="4"/>
  <c r="R145" i="4"/>
  <c r="R139" i="4"/>
  <c r="I108" i="6"/>
  <c r="I116" i="6"/>
  <c r="I115" i="6"/>
  <c r="I110" i="6"/>
  <c r="R123" i="4"/>
  <c r="R124" i="4"/>
  <c r="R125" i="4"/>
  <c r="I117" i="6"/>
  <c r="I111" i="6"/>
  <c r="I114" i="6"/>
  <c r="I113" i="6"/>
  <c r="I112" i="6"/>
  <c r="R128" i="4"/>
  <c r="R122" i="4"/>
  <c r="R127" i="4"/>
  <c r="R109" i="4"/>
  <c r="R108" i="4"/>
  <c r="R126" i="4"/>
  <c r="R129" i="4"/>
  <c r="R151" i="4"/>
  <c r="I106" i="6"/>
  <c r="I107" i="6"/>
  <c r="I109" i="6"/>
  <c r="R90" i="4"/>
  <c r="R78" i="4"/>
  <c r="R111" i="4"/>
  <c r="R99" i="4"/>
  <c r="R121" i="4"/>
  <c r="R167" i="4"/>
  <c r="R119" i="4"/>
  <c r="R118" i="4"/>
  <c r="R117" i="4"/>
  <c r="R116" i="4"/>
  <c r="R98" i="4"/>
  <c r="R97" i="4"/>
  <c r="R96" i="4"/>
  <c r="R79" i="4"/>
  <c r="R106" i="4"/>
  <c r="R105" i="4"/>
  <c r="R114" i="4"/>
  <c r="R102" i="4"/>
  <c r="R113" i="4"/>
  <c r="R101" i="4"/>
  <c r="R91" i="4"/>
  <c r="R104" i="4"/>
  <c r="R112" i="4"/>
  <c r="R100" i="4"/>
  <c r="R110" i="4"/>
  <c r="R115" i="4"/>
  <c r="R95" i="4"/>
  <c r="R89" i="4"/>
  <c r="R94" i="4"/>
  <c r="R88" i="4"/>
  <c r="R93" i="4"/>
  <c r="R87" i="4"/>
  <c r="R92" i="4"/>
  <c r="R80" i="4"/>
  <c r="R86" i="4"/>
  <c r="N55" i="4"/>
  <c r="N56" i="4"/>
  <c r="N57" i="4"/>
  <c r="N58" i="4"/>
  <c r="N18" i="4"/>
  <c r="N60" i="4"/>
  <c r="N61" i="4"/>
  <c r="N62" i="4"/>
  <c r="N63" i="4"/>
  <c r="N64" i="4"/>
  <c r="N65" i="4"/>
  <c r="N66" i="4"/>
  <c r="N67" i="4"/>
  <c r="N68" i="4"/>
  <c r="N69" i="4"/>
  <c r="N70" i="4"/>
  <c r="N71" i="4"/>
  <c r="N72" i="4"/>
  <c r="N73" i="4"/>
  <c r="N74" i="4"/>
  <c r="N75" i="4"/>
  <c r="N76" i="4"/>
  <c r="N77" i="4"/>
  <c r="O55" i="4"/>
  <c r="O56" i="4"/>
  <c r="O57" i="4"/>
  <c r="O58" i="4"/>
  <c r="O18" i="4"/>
  <c r="O60" i="4"/>
  <c r="O61" i="4"/>
  <c r="O62" i="4"/>
  <c r="O63" i="4"/>
  <c r="O64" i="4"/>
  <c r="O65" i="4"/>
  <c r="O66" i="4"/>
  <c r="O67" i="4"/>
  <c r="O68" i="4"/>
  <c r="O69" i="4"/>
  <c r="O70" i="4"/>
  <c r="O71" i="4"/>
  <c r="O72" i="4"/>
  <c r="O73" i="4"/>
  <c r="O74" i="4"/>
  <c r="O75" i="4"/>
  <c r="O76" i="4"/>
  <c r="O77" i="4"/>
  <c r="R84" i="4"/>
  <c r="R85" i="4"/>
  <c r="P55" i="4"/>
  <c r="P56" i="4"/>
  <c r="P57" i="4"/>
  <c r="P58" i="4"/>
  <c r="P18" i="4"/>
  <c r="P60" i="4"/>
  <c r="P61" i="4"/>
  <c r="P62" i="4"/>
  <c r="P63" i="4"/>
  <c r="P64" i="4"/>
  <c r="P65" i="4"/>
  <c r="P66" i="4"/>
  <c r="P67" i="4"/>
  <c r="P68" i="4"/>
  <c r="P69" i="4"/>
  <c r="P70" i="4"/>
  <c r="P71" i="4"/>
  <c r="P72" i="4"/>
  <c r="P73" i="4"/>
  <c r="P74" i="4"/>
  <c r="P75" i="4"/>
  <c r="P76" i="4"/>
  <c r="P77" i="4"/>
  <c r="Q55" i="4"/>
  <c r="Q56" i="4"/>
  <c r="Q57" i="4"/>
  <c r="Q58" i="4"/>
  <c r="Q18" i="4"/>
  <c r="Q60" i="4"/>
  <c r="Q61" i="4"/>
  <c r="Q62" i="4"/>
  <c r="Q63" i="4"/>
  <c r="Q64" i="4"/>
  <c r="Q65" i="4"/>
  <c r="Q66" i="4"/>
  <c r="Q67" i="4"/>
  <c r="Q68" i="4"/>
  <c r="Q69" i="4"/>
  <c r="Q70" i="4"/>
  <c r="Q71" i="4"/>
  <c r="Q72" i="4"/>
  <c r="Q73" i="4"/>
  <c r="Q74" i="4"/>
  <c r="Q75" i="4"/>
  <c r="Q76" i="4"/>
  <c r="Q77" i="4"/>
  <c r="R81" i="4"/>
  <c r="R82" i="4"/>
  <c r="R83" i="4"/>
  <c r="N54" i="4"/>
  <c r="O54" i="4"/>
  <c r="P54" i="4"/>
  <c r="Q54" i="4"/>
  <c r="N51" i="4"/>
  <c r="N103" i="4"/>
  <c r="N53" i="4"/>
  <c r="O51" i="4"/>
  <c r="O103" i="4"/>
  <c r="O53" i="4"/>
  <c r="P51" i="4"/>
  <c r="P103" i="4"/>
  <c r="P53" i="4"/>
  <c r="Q51" i="4"/>
  <c r="Q103" i="4"/>
  <c r="Q53" i="4"/>
  <c r="N47" i="4"/>
  <c r="N48" i="4"/>
  <c r="N49" i="4"/>
  <c r="N50" i="4"/>
  <c r="O47" i="4"/>
  <c r="O48" i="4"/>
  <c r="O49" i="4"/>
  <c r="O50" i="4"/>
  <c r="P47" i="4"/>
  <c r="P48" i="4"/>
  <c r="P49" i="4"/>
  <c r="P50" i="4"/>
  <c r="Q47" i="4"/>
  <c r="Q48" i="4"/>
  <c r="Q49" i="4"/>
  <c r="Q50" i="4"/>
  <c r="F11" i="7" l="1"/>
  <c r="H11" i="7" s="1"/>
  <c r="F9" i="7"/>
  <c r="H9" i="7" s="1"/>
  <c r="I105" i="6"/>
  <c r="I104" i="6"/>
  <c r="I103" i="6"/>
  <c r="I102" i="6"/>
  <c r="I46" i="6"/>
  <c r="I45" i="6"/>
  <c r="I47" i="6"/>
  <c r="R64" i="4"/>
  <c r="I142" i="6"/>
  <c r="I43" i="6"/>
  <c r="R76" i="4"/>
  <c r="R75" i="4"/>
  <c r="R63" i="4"/>
  <c r="R65" i="4"/>
  <c r="R71" i="4"/>
  <c r="R18" i="4"/>
  <c r="R77" i="4"/>
  <c r="R70" i="4"/>
  <c r="R58" i="4"/>
  <c r="R69" i="4"/>
  <c r="R57" i="4"/>
  <c r="R73" i="4"/>
  <c r="R67" i="4"/>
  <c r="R61" i="4"/>
  <c r="R55" i="4"/>
  <c r="R74" i="4"/>
  <c r="R68" i="4"/>
  <c r="R62" i="4"/>
  <c r="R56" i="4"/>
  <c r="R72" i="4"/>
  <c r="R66" i="4"/>
  <c r="R60" i="4"/>
  <c r="R54" i="4"/>
  <c r="R48" i="4"/>
  <c r="R53" i="4"/>
  <c r="I52" i="6"/>
  <c r="I58" i="6"/>
  <c r="I54" i="6"/>
  <c r="R49" i="4"/>
  <c r="R50" i="4"/>
  <c r="R103" i="4"/>
  <c r="R51" i="4"/>
  <c r="I40" i="6"/>
  <c r="I39" i="6"/>
  <c r="R47" i="4"/>
  <c r="I36" i="6"/>
  <c r="I35" i="6"/>
  <c r="I57" i="6"/>
  <c r="N46" i="4"/>
  <c r="O46" i="4"/>
  <c r="P46" i="4"/>
  <c r="Q46" i="4"/>
  <c r="N44" i="4"/>
  <c r="N45" i="4"/>
  <c r="O44" i="4"/>
  <c r="O45" i="4"/>
  <c r="P44" i="4"/>
  <c r="P45" i="4"/>
  <c r="Q44" i="4"/>
  <c r="Q45" i="4"/>
  <c r="N41" i="4"/>
  <c r="N42" i="4"/>
  <c r="N59" i="4"/>
  <c r="O41" i="4"/>
  <c r="O42" i="4"/>
  <c r="O59" i="4"/>
  <c r="P41" i="4"/>
  <c r="P42" i="4"/>
  <c r="P59" i="4"/>
  <c r="Q41" i="4"/>
  <c r="Q42" i="4"/>
  <c r="Q59" i="4"/>
  <c r="N40" i="4"/>
  <c r="O40" i="4"/>
  <c r="P40" i="4"/>
  <c r="Q40" i="4"/>
  <c r="N39" i="4"/>
  <c r="O39" i="4"/>
  <c r="P39" i="4"/>
  <c r="Q39" i="4"/>
  <c r="I6" i="6"/>
  <c r="I12" i="6"/>
  <c r="N37" i="4"/>
  <c r="N38" i="4"/>
  <c r="O37" i="4"/>
  <c r="O38" i="4"/>
  <c r="P37" i="4"/>
  <c r="P38" i="4"/>
  <c r="Q37" i="4"/>
  <c r="Q38" i="4"/>
  <c r="N34" i="4"/>
  <c r="N35" i="4"/>
  <c r="N36" i="4"/>
  <c r="O34" i="4"/>
  <c r="O35" i="4"/>
  <c r="O36" i="4"/>
  <c r="P34" i="4"/>
  <c r="P35" i="4"/>
  <c r="P36" i="4"/>
  <c r="Q34" i="4"/>
  <c r="Q35" i="4"/>
  <c r="Q36" i="4"/>
  <c r="N31" i="4"/>
  <c r="N32" i="4"/>
  <c r="N33" i="4"/>
  <c r="O31" i="4"/>
  <c r="O32" i="4"/>
  <c r="O33" i="4"/>
  <c r="P31" i="4"/>
  <c r="P32" i="4"/>
  <c r="P33" i="4"/>
  <c r="Q31" i="4"/>
  <c r="Q32" i="4"/>
  <c r="Q33" i="4"/>
  <c r="N29" i="4"/>
  <c r="N30" i="4"/>
  <c r="O29" i="4"/>
  <c r="O30" i="4"/>
  <c r="P29" i="4"/>
  <c r="P30" i="4"/>
  <c r="Q29" i="4"/>
  <c r="Q30" i="4"/>
  <c r="N28" i="4"/>
  <c r="O28" i="4"/>
  <c r="P28" i="4"/>
  <c r="Q28" i="4"/>
  <c r="N26" i="4"/>
  <c r="N27" i="4"/>
  <c r="O26" i="4"/>
  <c r="O27" i="4"/>
  <c r="P26" i="4"/>
  <c r="P27" i="4"/>
  <c r="Q26" i="4"/>
  <c r="Q27" i="4"/>
  <c r="N52" i="4"/>
  <c r="N24" i="4"/>
  <c r="N25" i="4"/>
  <c r="O52" i="4"/>
  <c r="O24" i="4"/>
  <c r="O25" i="4"/>
  <c r="P52" i="4"/>
  <c r="P24" i="4"/>
  <c r="P25" i="4"/>
  <c r="Q52" i="4"/>
  <c r="Q24" i="4"/>
  <c r="Q25" i="4"/>
  <c r="O17" i="4"/>
  <c r="O20" i="4"/>
  <c r="O155" i="4"/>
  <c r="O107" i="4"/>
  <c r="O21" i="4"/>
  <c r="O22" i="4"/>
  <c r="N22" i="4"/>
  <c r="P22" i="4"/>
  <c r="Q22" i="4"/>
  <c r="N21" i="4"/>
  <c r="P21" i="4"/>
  <c r="Q21" i="4"/>
  <c r="N107" i="4"/>
  <c r="P107" i="4"/>
  <c r="Q107" i="4"/>
  <c r="N155" i="4"/>
  <c r="P155" i="4"/>
  <c r="Q155" i="4"/>
  <c r="Q17" i="4"/>
  <c r="P17" i="4"/>
  <c r="N17" i="4"/>
  <c r="N20" i="4"/>
  <c r="P20" i="4"/>
  <c r="Q20" i="4"/>
  <c r="H15" i="1"/>
  <c r="H11" i="1" s="1"/>
  <c r="B11" i="1"/>
  <c r="B10" i="1"/>
  <c r="F9" i="1"/>
  <c r="F11" i="1" s="1"/>
  <c r="D9" i="1"/>
  <c r="B9" i="1"/>
  <c r="F3" i="3"/>
  <c r="D3" i="3"/>
  <c r="F4" i="3"/>
  <c r="F5" i="3"/>
  <c r="F6" i="3"/>
  <c r="F7" i="3"/>
  <c r="F8" i="3"/>
  <c r="F9" i="3"/>
  <c r="F10" i="3"/>
  <c r="F11" i="3"/>
  <c r="F12" i="3"/>
  <c r="F13" i="3"/>
  <c r="F14" i="3"/>
  <c r="F15" i="3"/>
  <c r="F16" i="3"/>
  <c r="F17" i="3"/>
  <c r="F18" i="3"/>
  <c r="F19" i="3"/>
  <c r="F20" i="3"/>
  <c r="F21" i="3"/>
  <c r="F22" i="3"/>
  <c r="F23" i="3"/>
  <c r="F24" i="3"/>
  <c r="F25" i="3"/>
  <c r="F26" i="3"/>
  <c r="F2" i="3"/>
  <c r="B28" i="3"/>
  <c r="D19" i="3"/>
  <c r="D25" i="3"/>
  <c r="D18" i="3"/>
  <c r="D24" i="3"/>
  <c r="D17" i="3"/>
  <c r="D14" i="3"/>
  <c r="D13" i="3"/>
  <c r="D12" i="3"/>
  <c r="D23" i="3"/>
  <c r="D26" i="3"/>
  <c r="D11" i="3"/>
  <c r="D16" i="3"/>
  <c r="D15" i="3"/>
  <c r="D22" i="3"/>
  <c r="D21" i="3"/>
  <c r="D20" i="3"/>
  <c r="D7" i="3"/>
  <c r="D10" i="3"/>
  <c r="D6" i="3"/>
  <c r="D9" i="3"/>
  <c r="D8" i="3"/>
  <c r="D5" i="3"/>
  <c r="D4" i="3"/>
  <c r="D2" i="3"/>
  <c r="H10" i="1"/>
  <c r="H13" i="1"/>
  <c r="H9" i="1"/>
  <c r="D11" i="1"/>
  <c r="D10" i="1"/>
  <c r="R155" i="4" l="1"/>
  <c r="I5" i="6"/>
  <c r="D28" i="3"/>
  <c r="F10" i="1"/>
  <c r="H12" i="1"/>
  <c r="I19" i="6"/>
  <c r="I20" i="6"/>
  <c r="I8" i="6"/>
  <c r="I7" i="6"/>
  <c r="I15" i="6"/>
  <c r="I25" i="6"/>
  <c r="I13" i="6"/>
  <c r="I51" i="6"/>
  <c r="I31" i="6"/>
  <c r="I30" i="6"/>
  <c r="I22" i="6"/>
  <c r="I16" i="6"/>
  <c r="I10" i="6"/>
  <c r="I48" i="6"/>
  <c r="I49" i="6"/>
  <c r="I9" i="6"/>
  <c r="I62" i="6"/>
  <c r="I59" i="6"/>
  <c r="I61" i="6"/>
  <c r="I24" i="6"/>
  <c r="I18" i="6"/>
  <c r="I14" i="6"/>
  <c r="I17" i="6"/>
  <c r="I11" i="6"/>
  <c r="I63" i="6"/>
  <c r="I29" i="6"/>
  <c r="I60" i="6"/>
  <c r="R46" i="4"/>
  <c r="R42" i="4"/>
  <c r="R28" i="4"/>
  <c r="R45" i="4"/>
  <c r="R44" i="4"/>
  <c r="R31" i="4"/>
  <c r="R59" i="4"/>
  <c r="R22" i="4"/>
  <c r="R20" i="4"/>
  <c r="R17" i="4"/>
  <c r="R29" i="4"/>
  <c r="R38" i="4"/>
  <c r="R40" i="4"/>
  <c r="R41" i="4"/>
  <c r="R107" i="4"/>
  <c r="R21" i="4"/>
  <c r="R24" i="4"/>
  <c r="R25" i="4"/>
  <c r="R52" i="4"/>
  <c r="R27" i="4"/>
  <c r="R26" i="4"/>
  <c r="R30" i="4"/>
  <c r="R33" i="4"/>
  <c r="R32" i="4"/>
  <c r="R36" i="4"/>
  <c r="R35" i="4"/>
  <c r="R34" i="4"/>
  <c r="R37" i="4"/>
  <c r="R39" i="4"/>
  <c r="F10" i="7" l="1"/>
  <c r="H10" i="7" s="1"/>
  <c r="F7" i="7"/>
  <c r="H7" i="7" s="1"/>
  <c r="F6" i="7"/>
  <c r="H6" i="7" s="1"/>
  <c r="F5" i="7"/>
  <c r="H5" i="7" s="1"/>
  <c r="F3" i="7"/>
  <c r="H3" i="7" s="1"/>
  <c r="F2" i="7"/>
  <c r="H2" i="7" s="1"/>
</calcChain>
</file>

<file path=xl/sharedStrings.xml><?xml version="1.0" encoding="utf-8"?>
<sst xmlns="http://schemas.openxmlformats.org/spreadsheetml/2006/main" count="1536" uniqueCount="458">
  <si>
    <t>Valor de Inversión</t>
  </si>
  <si>
    <t>%</t>
  </si>
  <si>
    <t>ROI</t>
  </si>
  <si>
    <t xml:space="preserve">Facilidad de Implementación </t>
  </si>
  <si>
    <t>Impacto</t>
  </si>
  <si>
    <t>% MIN-MAX</t>
  </si>
  <si>
    <t>&lt;=10,000,000$</t>
  </si>
  <si>
    <t>&lt;3 MESES</t>
  </si>
  <si>
    <t>A (Facil)</t>
  </si>
  <si>
    <t>Ambiental</t>
  </si>
  <si>
    <t>0-25%</t>
  </si>
  <si>
    <t>&gt;10,000,000$ &lt;=20,000,000$</t>
  </si>
  <si>
    <t>&gt;3 MESES&lt;6 MESES</t>
  </si>
  <si>
    <t>B (Intermedio)</t>
  </si>
  <si>
    <t>Económico</t>
  </si>
  <si>
    <t>&gt;20,000,000$</t>
  </si>
  <si>
    <t>&gt; 6 MESES</t>
  </si>
  <si>
    <t>C (Dificil)</t>
  </si>
  <si>
    <t>SST</t>
  </si>
  <si>
    <t>0-20%</t>
  </si>
  <si>
    <t>Productividad</t>
  </si>
  <si>
    <t>Máximo por idea</t>
  </si>
  <si>
    <t>Orden y aseo</t>
  </si>
  <si>
    <t>0-5%</t>
  </si>
  <si>
    <t>CALIFICACIÓN PLAN DE PUNTOS</t>
  </si>
  <si>
    <r>
      <rPr>
        <b/>
        <sz val="11"/>
        <color theme="1"/>
        <rFont val="Cambria"/>
        <family val="1"/>
      </rPr>
      <t>CÓDIGO:</t>
    </r>
    <r>
      <rPr>
        <sz val="11"/>
        <color theme="1"/>
        <rFont val="Cambria"/>
        <family val="1"/>
      </rPr>
      <t xml:space="preserve"> FO-SDG-28
</t>
    </r>
    <r>
      <rPr>
        <b/>
        <sz val="11"/>
        <color theme="1"/>
        <rFont val="Cambria"/>
        <family val="1"/>
      </rPr>
      <t xml:space="preserve">VERSIÓN: </t>
    </r>
    <r>
      <rPr>
        <sz val="11"/>
        <color theme="1"/>
        <rFont val="Cambria"/>
        <family val="1"/>
      </rPr>
      <t xml:space="preserve">01
</t>
    </r>
    <r>
      <rPr>
        <b/>
        <sz val="11"/>
        <color theme="1"/>
        <rFont val="Cambria"/>
        <family val="1"/>
      </rPr>
      <t>FECHA:</t>
    </r>
    <r>
      <rPr>
        <sz val="11"/>
        <color theme="1"/>
        <rFont val="Cambria"/>
        <family val="1"/>
      </rPr>
      <t xml:space="preserve"> 19/07/2024 </t>
    </r>
  </si>
  <si>
    <t>FASE 1 CALIFICACIÓN</t>
  </si>
  <si>
    <t xml:space="preserve">FASE 2 IMPLEMENTACIÓN </t>
  </si>
  <si>
    <t>DOCUMENTO</t>
  </si>
  <si>
    <t>NOMBRE</t>
  </si>
  <si>
    <t>RADICADO</t>
  </si>
  <si>
    <t>PROCESO</t>
  </si>
  <si>
    <t>ESTADO</t>
  </si>
  <si>
    <t>VALOR INVERSIÓN</t>
  </si>
  <si>
    <t>ROI (MESES)</t>
  </si>
  <si>
    <t>FACILIDAD IMPLEM.</t>
  </si>
  <si>
    <t>IMPACTO AMBIENTAL (Máx. 25%)</t>
  </si>
  <si>
    <t>IMPACTO ECONÓMICO (Máx. 25%)</t>
  </si>
  <si>
    <t>IMPACTO SST (Máx. 20%)</t>
  </si>
  <si>
    <t>IMPACTO PRODUCTIVIDAD (Máx. 25%)</t>
  </si>
  <si>
    <t>IMPACTO ORDEN Y ASEO (Máx. 5%)</t>
  </si>
  <si>
    <t>PUNTOS VALOR INVERSIÓN</t>
  </si>
  <si>
    <t xml:space="preserve">PUNTOS ROI </t>
  </si>
  <si>
    <t xml:space="preserve">PUNTOS FACILIDAD IMPLEM. </t>
  </si>
  <si>
    <t xml:space="preserve">PUNTOS IMPACTO </t>
  </si>
  <si>
    <t>PUNTOS TOTALES</t>
  </si>
  <si>
    <t>OBSERVACIONES</t>
  </si>
  <si>
    <t>CLASIFICACIÓN</t>
  </si>
  <si>
    <t>PRIORIDAD</t>
  </si>
  <si>
    <t>RESUMEN IDEA</t>
  </si>
  <si>
    <t xml:space="preserve">OBSERVACIONES </t>
  </si>
  <si>
    <t>RESPONSABLE</t>
  </si>
  <si>
    <t>ESTADO IMPLEMENTACIÓN</t>
  </si>
  <si>
    <t>José Julián Betancur Estrada</t>
  </si>
  <si>
    <t>Producción</t>
  </si>
  <si>
    <t>Descartada</t>
  </si>
  <si>
    <t>Victoria Arciniegas Arteaga</t>
  </si>
  <si>
    <t>G.Administrativa</t>
  </si>
  <si>
    <t>Jorge Andrés Carvajal</t>
  </si>
  <si>
    <t>Valentina Caruso Alian</t>
  </si>
  <si>
    <t>SIG</t>
  </si>
  <si>
    <t>Ivan Dario Babilonia Cordero</t>
  </si>
  <si>
    <t>Calificada</t>
  </si>
  <si>
    <t>N/A</t>
  </si>
  <si>
    <t>C</t>
  </si>
  <si>
    <t>Técnica G2</t>
  </si>
  <si>
    <t>Baja</t>
  </si>
  <si>
    <t>Cambiar grapas de montaje por sistema fijo</t>
  </si>
  <si>
    <t>Pendiente pruebas</t>
  </si>
  <si>
    <t>No viable</t>
  </si>
  <si>
    <t>Andrés Felipe Ortega Rodríguez</t>
  </si>
  <si>
    <t>Jhon Jairo Villamizar Gutierrez</t>
  </si>
  <si>
    <t>Mantenimiento</t>
  </si>
  <si>
    <t>A</t>
  </si>
  <si>
    <t>Gancho de sostenimiento de botonera de diferencial de estación B en flama</t>
  </si>
  <si>
    <t>Ya se está implementando.</t>
  </si>
  <si>
    <t>Juan Manuel Aguinaga</t>
  </si>
  <si>
    <t>En proceso</t>
  </si>
  <si>
    <t>B</t>
  </si>
  <si>
    <t>Técnica G1</t>
  </si>
  <si>
    <t>Cambio de puerto de carga chisperos</t>
  </si>
  <si>
    <t>Al momento se tiene usa solucion temporal mientras se implementa el proceso HQ en todas las maquinas, Don Gustavo Ossa profundizara con Don Jhon Villamizar sobre el proceso del chispero</t>
  </si>
  <si>
    <t>Andrés Coneo</t>
  </si>
  <si>
    <t>&gt;6</t>
  </si>
  <si>
    <t>No Viable</t>
  </si>
  <si>
    <t>Control inalambrico para diferenciales</t>
  </si>
  <si>
    <t>Tiende a desaparecer con proyecto HQ</t>
  </si>
  <si>
    <r>
      <rPr>
        <sz val="11"/>
        <color rgb="FFFF0000"/>
        <rFont val="Cambria"/>
        <family val="1"/>
      </rPr>
      <t>24/07/2024 Descartada.</t>
    </r>
    <r>
      <rPr>
        <sz val="11"/>
        <color theme="1"/>
        <rFont val="Cambria"/>
        <family val="1"/>
      </rPr>
      <t xml:space="preserve"> Es algo implementado y que se encuentra en proceso. 27/08/2024 03:46 pm Se habló con colaborador explicandole los motivos por los que no se tuvo en cuenta su idea, se contó con apoyo de Cristian Alzate </t>
    </r>
  </si>
  <si>
    <t>Wilder Duvan Atehortua Iral</t>
  </si>
  <si>
    <t>Alta</t>
  </si>
  <si>
    <t xml:space="preserve">Lampara LED en forma de ARO </t>
  </si>
  <si>
    <t>Se va a validar luz tipo minero, hablar con SST</t>
  </si>
  <si>
    <t>Marcela Rios</t>
  </si>
  <si>
    <t>Lyda Sorany Montoya Castaño</t>
  </si>
  <si>
    <t>Comercial</t>
  </si>
  <si>
    <t>Reactivar bebedero caballo</t>
  </si>
  <si>
    <t>Reactivar bebedero para caballo</t>
  </si>
  <si>
    <t>Revisar flotadores para relanzamiento de producto</t>
  </si>
  <si>
    <t>JuanDavid Rojas</t>
  </si>
  <si>
    <t>Diego León Vásques Cortés</t>
  </si>
  <si>
    <t>&lt;=3</t>
  </si>
  <si>
    <t>24/07/2024 Puntuada</t>
  </si>
  <si>
    <t xml:space="preserve">Caja para evitar desconexión de herramientas </t>
  </si>
  <si>
    <t>Realizar un diseño y entregarselo al personal de ensamble/soldadura para que realicen las demas, hacer un inventario de cuantas se requieren (Diego Vasquez)</t>
  </si>
  <si>
    <t>Juan David Rojas - Gustavo Ossa</t>
  </si>
  <si>
    <t>Implementada</t>
  </si>
  <si>
    <t>Maria Teresa Ríos Zapata</t>
  </si>
  <si>
    <t>31/07/2024 Puntuada</t>
  </si>
  <si>
    <t>Interruptor individual para los tomas de las herramientas.</t>
  </si>
  <si>
    <t>No es justificable la implememtación.</t>
  </si>
  <si>
    <t>Media</t>
  </si>
  <si>
    <t>Rampa en caseta de control de ingreso</t>
  </si>
  <si>
    <t>Revisar con Jhon Jairo Henao para mejorar la entrada por la caseta de control aprovechando la pavimentación</t>
  </si>
  <si>
    <t>No Implementar</t>
  </si>
  <si>
    <t>Duverney Oquendo</t>
  </si>
  <si>
    <t>Aislante para moldes de casillas</t>
  </si>
  <si>
    <t>Liderar Juan David Rojas y comercial, con el apoyo del proceso técnico.</t>
  </si>
  <si>
    <t>Juan David Rojas - Cristian Cardona</t>
  </si>
  <si>
    <t>Jorge Eliecer Calderón Reyes</t>
  </si>
  <si>
    <t>G.Técnica</t>
  </si>
  <si>
    <t>&gt;3&lt;=6</t>
  </si>
  <si>
    <t>14/08/2024 Puntuada</t>
  </si>
  <si>
    <t>Filtros para las flautas</t>
  </si>
  <si>
    <t>Hacer un rollo de malla que sirva de filtro dentro de la tuberia, para que la limalla no entre al racor</t>
  </si>
  <si>
    <t>Sebastián Ossa</t>
  </si>
  <si>
    <t>Luis Eduardo Perdomo Rojas</t>
  </si>
  <si>
    <r>
      <rPr>
        <sz val="11"/>
        <color rgb="FFFF0000"/>
        <rFont val="Cambria"/>
        <family val="1"/>
      </rPr>
      <t>14/08/2024 Descartada.</t>
    </r>
    <r>
      <rPr>
        <sz val="11"/>
        <color theme="1"/>
        <rFont val="Cambria"/>
        <family val="1"/>
      </rPr>
      <t xml:space="preserve"> 20/08/2024 09:20am Se habló con colaborador, se invitó a replantear ambas ideas, se contó con apoyo de Cristian Alzate </t>
    </r>
  </si>
  <si>
    <t>Juan Camilo Agudelo Muñoz</t>
  </si>
  <si>
    <t>TI</t>
  </si>
  <si>
    <t>21/08/2024 Pendiente evaluar costos de reposición de equipos con TI</t>
  </si>
  <si>
    <t>Sistema Android para lectura de codigos en estampación</t>
  </si>
  <si>
    <t>Camilo Agudelo - Julián Giraldo</t>
  </si>
  <si>
    <t>Sin empezar</t>
  </si>
  <si>
    <t>Jorge Andrés Aguilar</t>
  </si>
  <si>
    <t>21/08/2024 Debe ampliar el concepto y validarse con SST, realizar pruebas.</t>
  </si>
  <si>
    <t>Diego Uribe Castellanos</t>
  </si>
  <si>
    <t>21/08/2024 Puntuada. 24/02/2025 R. Jhon R</t>
  </si>
  <si>
    <t>Limpieza profunda de flautas y toberas</t>
  </si>
  <si>
    <t>Pendiente, no aplica realizar en la parada autonoma, sino en el plan de mantenimiento para realizarse por parte del operario y el MT.</t>
  </si>
  <si>
    <t>Juan Carlos Cano Ocampo</t>
  </si>
  <si>
    <r>
      <rPr>
        <sz val="11"/>
        <color rgb="FFFF0000"/>
        <rFont val="Cambria"/>
        <family val="1"/>
      </rPr>
      <t>03/09/2024 Descartada.</t>
    </r>
    <r>
      <rPr>
        <sz val="11"/>
        <color theme="1"/>
        <rFont val="Cambria"/>
        <family val="1"/>
      </rPr>
      <t xml:space="preserve"> 21/08/2024 Debe ampliar concepto de la idea. 28/08/2024 10:50am Se habló con colaborador, contando con acompañamiento de Crsitian Alzate. El colaborador solicita le concedan un espacio ya que tiene una presentación construída en power point para presentarla. 28/08/2024 Comité aprueba darle un espacio de 15 min en el proximo encuentro del 03/09/2024. </t>
    </r>
    <r>
      <rPr>
        <sz val="11"/>
        <rFont val="Cambria"/>
        <family val="1"/>
      </rPr>
      <t>03/09/2024</t>
    </r>
    <r>
      <rPr>
        <sz val="11"/>
        <color theme="1"/>
        <rFont val="Cambria"/>
        <family val="1"/>
      </rPr>
      <t xml:space="preserve"> Luego de sustentación comité considera idea como viable en el ambito de personas naturales, por lo cual no se puntuó, se decide que desde TH se revise la posibilidad de realizar un complemento enfocado en su experiencia y darle algún tipo de reconocimiento.</t>
    </r>
  </si>
  <si>
    <t>Jair José Aguilar Mora</t>
  </si>
  <si>
    <r>
      <rPr>
        <sz val="11"/>
        <color rgb="FFFF0000"/>
        <rFont val="Cambria"/>
        <family val="1"/>
      </rPr>
      <t>21/08/2024 Descartada.</t>
    </r>
    <r>
      <rPr>
        <sz val="11"/>
        <color theme="1"/>
        <rFont val="Cambria"/>
        <family val="1"/>
      </rPr>
      <t xml:space="preserve"> Técnicamente un extractor no retira calor por radiación. Pendiente hablar con operario.</t>
    </r>
  </si>
  <si>
    <t>Duván Arley López Jiménez</t>
  </si>
  <si>
    <t>T.Humano</t>
  </si>
  <si>
    <t>28/08/2024 Se debe revisar PNC de máquinas 8 y 17 con Sebastián Gallego para validar la necesidad y viabilidad de esta idea.</t>
  </si>
  <si>
    <t>Luis Carlos Ramos Rangel</t>
  </si>
  <si>
    <r>
      <rPr>
        <sz val="11"/>
        <color rgb="FFFF0000"/>
        <rFont val="Cambria"/>
        <family val="1"/>
      </rPr>
      <t>28/08/2024 Descartada.</t>
    </r>
    <r>
      <rPr>
        <sz val="11"/>
        <color theme="1"/>
        <rFont val="Cambria"/>
        <family val="1"/>
      </rPr>
      <t xml:space="preserve"> La implementación de las OT aún se encuentra en proceso de ajustes y son temas que se están revisando. </t>
    </r>
  </si>
  <si>
    <t>Sebastián Ossa Londoño</t>
  </si>
  <si>
    <t>28/08/2024 Se deben realizar pruebas, seguimiento y validar. componentes químicos. 24/02/2025 Se continuarán buscando alternativas. R. Jhon R.</t>
  </si>
  <si>
    <t>Soldadura fria o pegamento epóxico para los poros de los moldes</t>
  </si>
  <si>
    <t xml:space="preserve">Don John solicitara a sebastian continuar con los ensayos de este o un homologo para validar eficiencia </t>
  </si>
  <si>
    <t>28/08/2024 Puntuada</t>
  </si>
  <si>
    <t>Recipientes para material contaminado por planta</t>
  </si>
  <si>
    <t>No se soluciona nigún problema con la propuesta</t>
  </si>
  <si>
    <t>Mateo Arango Betancur</t>
  </si>
  <si>
    <t xml:space="preserve">28/08/2024 Se debe validar funcionalidad y eficacia en el proceso. 9/12/2024 Luego de realizar las pruebas, SST la descarta porque se genera material particulado lo cual afectarías las zonas aledañas y se debería hacer un encerramiento, lo cual conlleva mas inversión. </t>
  </si>
  <si>
    <t>Roberto Carlos Rodríguez</t>
  </si>
  <si>
    <t>Pines de patineta para regular ajuste de flautas</t>
  </si>
  <si>
    <t>No es optimo para el proceso.</t>
  </si>
  <si>
    <t>Alfredo Trujillo Cordoba</t>
  </si>
  <si>
    <t>03/09/2024 Validar con Jhony Tuberquia</t>
  </si>
  <si>
    <t>Mamparas entre cajas de materia prima</t>
  </si>
  <si>
    <t>Definir con mantenimiento fabricación</t>
  </si>
  <si>
    <r>
      <rPr>
        <sz val="11"/>
        <color rgb="FFFF0000"/>
        <rFont val="Cambria"/>
        <family val="1"/>
      </rPr>
      <t>03/09/2024 Descartada.</t>
    </r>
    <r>
      <rPr>
        <sz val="11"/>
        <color theme="1"/>
        <rFont val="Cambria"/>
        <family val="1"/>
      </rPr>
      <t xml:space="preserve"> Lo que propone es lo que se hace actualmente desde proceso comercial. </t>
    </r>
  </si>
  <si>
    <r>
      <rPr>
        <sz val="11"/>
        <color rgb="FFFF0000"/>
        <rFont val="Cambria"/>
        <family val="1"/>
      </rPr>
      <t xml:space="preserve">03/09/2024 Descartada. </t>
    </r>
    <r>
      <rPr>
        <sz val="11"/>
        <rFont val="Cambria"/>
        <family val="1"/>
      </rPr>
      <t>Lo que propone fue una idea surgida e implementada en la zona de respeto.</t>
    </r>
  </si>
  <si>
    <t>Román José Dario Briñez Boscán</t>
  </si>
  <si>
    <t>03/09/2024 Pendiente validar necesidad, utilidad y viabilidad con Supervisor materias primas y coordinador de PCC.</t>
  </si>
  <si>
    <t>03/09/2924 No se alcanzó a evaluar. 10/09/2024 Puntuada</t>
  </si>
  <si>
    <t>Cajón para herramientas en máquinas flama</t>
  </si>
  <si>
    <t>Ya tienen tablero de sombras.</t>
  </si>
  <si>
    <t>Implementar metodología QRQC (Control de calidad de respuesta rápida)</t>
  </si>
  <si>
    <t>Metodologia QRQC, coordinar con Jorge la socializacion de la metodologia a TH, producción, calidad, logistica, mantenimiento para definir si es indicado implementar otra metodologia mas</t>
  </si>
  <si>
    <t>Jorge Carvajal - Gustavo Ossa</t>
  </si>
  <si>
    <t>Arnol Miguel Montiel Campos</t>
  </si>
  <si>
    <t xml:space="preserve">10/09/2024 Descartada. </t>
  </si>
  <si>
    <t>Oscar Alveiro Forero Mogollón</t>
  </si>
  <si>
    <t>18/09/2024 Pendiente que Cristian Cardona valide paros por esta causa, costos de reparación y el costo de implementar la idea, para determinar el impacto económico.</t>
  </si>
  <si>
    <t>18/09/2024 Pendiente que Cristian Cardona indague a Oscar sobre los beneficios que expone en la idea.</t>
  </si>
  <si>
    <t>Sensores inductivos para máquinas de horno</t>
  </si>
  <si>
    <t>Cristian Cardona</t>
  </si>
  <si>
    <t>Gustavo Adolfo Galeano Alvarez</t>
  </si>
  <si>
    <t>18/09/2024 Descartada.</t>
  </si>
  <si>
    <r>
      <rPr>
        <sz val="11"/>
        <color rgb="FFFF0000"/>
        <rFont val="Cambria"/>
        <family val="1"/>
      </rPr>
      <t>18/09/2024 Descartada.</t>
    </r>
    <r>
      <rPr>
        <sz val="11"/>
        <color theme="1"/>
        <rFont val="Cambria"/>
        <family val="1"/>
      </rPr>
      <t xml:space="preserve"> No es viable la implementación del dispositivo en ese espacio de trabajo, afectaría a los procesos adyacentes, se necesitaría un encerramiento de la zona. </t>
    </r>
  </si>
  <si>
    <t>18/09/2024 Puntuada.</t>
  </si>
  <si>
    <t>Base movil para transporte de productos de mayor volumen</t>
  </si>
  <si>
    <t>Pendiente validar disponibilidad mantenimiento.</t>
  </si>
  <si>
    <t>Juan David Rojas</t>
  </si>
  <si>
    <t>Bitácora de materias primas para flama</t>
  </si>
  <si>
    <t>Bitacora de materias primas, reunión producción tecnica y calidad para diseñar la tabla.</t>
  </si>
  <si>
    <t>Jhon Rendón - Sebastián Ossa - Jhony Tuberquia</t>
  </si>
  <si>
    <t>Wilson Fernando Ramirez Zuluaga</t>
  </si>
  <si>
    <t>18/09/2024 Pendiente que Cristian Cardona valide con el operario la necesidad y funcionalidad de la idea propuesta.</t>
  </si>
  <si>
    <r>
      <rPr>
        <sz val="11"/>
        <color rgb="FFFF0000"/>
        <rFont val="Cambria"/>
        <family val="1"/>
      </rPr>
      <t xml:space="preserve">24/09/2024 Descartada. </t>
    </r>
    <r>
      <rPr>
        <sz val="11"/>
        <rFont val="Cambria"/>
        <family val="1"/>
      </rPr>
      <t>La idea ya había sido presentada por otro colaborador con radicado #6769</t>
    </r>
  </si>
  <si>
    <t>Colocar una tobera auxiliar</t>
  </si>
  <si>
    <t>Que produccion determine si es en todos los tapones o en algunas referencias y cuando este Id, hablar con Luis Ramos (JJ Rendon) , validar si en la prueba estaba el molde sucio o limpio.</t>
  </si>
  <si>
    <t>Jhon Rendón - Sebastián Ossa</t>
  </si>
  <si>
    <t>Julián Yafeth Hernandez Montes</t>
  </si>
  <si>
    <t>Almacenar repigmentado en silo</t>
  </si>
  <si>
    <t>No presta adecuada función por el espacio y las condicones de cargue y descargue</t>
  </si>
  <si>
    <t>Juan Guillermo Bedoya</t>
  </si>
  <si>
    <t>Sensores de movimiento en máquinas de flama</t>
  </si>
  <si>
    <t>Proyecto HQ mitiga esos riesgos, adicional a las máquinas se les instalaron guardas.</t>
  </si>
  <si>
    <t>Reutilización de estopa</t>
  </si>
  <si>
    <t>Ya se implemento el ecouso, pendiente resultado de analisis de reduccion de costos</t>
  </si>
  <si>
    <t>Gustavo Ossa - Julián Giraldo</t>
  </si>
  <si>
    <t>Ya se habia presentado por otro colaborador</t>
  </si>
  <si>
    <t>Esteban Sánchez Montoya</t>
  </si>
  <si>
    <t>Impresora 3D</t>
  </si>
  <si>
    <t>Edwin Yobany Valbuena Monsalve</t>
  </si>
  <si>
    <t>Mezanine en zona de materia prima</t>
  </si>
  <si>
    <t>La idea esta en proceso con el objetivo de acondicionar materias primas y moldes para lograr una logistica adecuada con la nueva pulverizadora. Se considera no viable ya que se hará uso de estanterías para ordenar el área</t>
  </si>
  <si>
    <t>Carlos Eduardo Gonzalez Alvarado</t>
  </si>
  <si>
    <t>Máquina de marcación laser para productos</t>
  </si>
  <si>
    <t>Desde calidad se está evaluado sello tipo riel con calor, además es muy costoso y su manipulación genera riesgos a los colobaoradores.</t>
  </si>
  <si>
    <t>Cautin para los poros pequeños en soldadura</t>
  </si>
  <si>
    <t>Solicitar a mantenimiento el prestamo de un cautin para que el colaborador Luis Perdomo haga la prueba e informe el resultado, para que identificar la apariencia.</t>
  </si>
  <si>
    <t>Luis Octavio Acevedo</t>
  </si>
  <si>
    <t>Logística</t>
  </si>
  <si>
    <t>Ya se está implementando</t>
  </si>
  <si>
    <t>Ferney Hernando Hernandez B.</t>
  </si>
  <si>
    <t>Hernan Dario Miranda Ramírez</t>
  </si>
  <si>
    <t>Cristian Carvajal Rios</t>
  </si>
  <si>
    <t>Pedro Alejandro Ruiz Orrego</t>
  </si>
  <si>
    <t>Explicarle al colaborador la situación actual procesos</t>
  </si>
  <si>
    <t>Fraiman Posada</t>
  </si>
  <si>
    <t>Jorge David Robledo Ibarguen</t>
  </si>
  <si>
    <t>Reubicación molino en zona reciclaje</t>
  </si>
  <si>
    <t>Altera correcto flujo del proceso y requeriría inversión alta para adecuación</t>
  </si>
  <si>
    <t>Santiago Pacheco Mosquera</t>
  </si>
  <si>
    <t>Repetida</t>
  </si>
  <si>
    <t xml:space="preserve">Instalacion de poste separador guia, para evitar el paso del personal no autorizado a la zona de MP </t>
  </si>
  <si>
    <t>Esta pendiente instalar la barrera fisica, ya se ubicó el pc y un letrero de señalización - Se descarta barrera, por circulación de montacarga.</t>
  </si>
  <si>
    <t>Joaquin Albeiro Contreras Alvarez</t>
  </si>
  <si>
    <t>Base para moldes grandes para mejorar el desplazamiento</t>
  </si>
  <si>
    <t>Pedir apoyo a Juan David Rojas que los diseñe y se mandes a hacer por fuera.</t>
  </si>
  <si>
    <t>Juan Pablo Orozco Yepes</t>
  </si>
  <si>
    <t>Juan Alejandro Atehortua Gañan</t>
  </si>
  <si>
    <t>Esteban Castaño Salazar</t>
  </si>
  <si>
    <t>Jesus Alberto Zapata Rueda</t>
  </si>
  <si>
    <t>Darwin Acevedo Alzate</t>
  </si>
  <si>
    <t>Juliana Acevedo Carvajal</t>
  </si>
  <si>
    <t>Gilder Andres Guzman Palomeque</t>
  </si>
  <si>
    <t>Jeison Fernando Salazar Castañeda</t>
  </si>
  <si>
    <t>Alejandro Mazo</t>
  </si>
  <si>
    <t>09/12/2024 Notificado</t>
  </si>
  <si>
    <t>Miguel Angel Ocampo Isaza</t>
  </si>
  <si>
    <t>Linterna para casco</t>
  </si>
  <si>
    <t>Cotizar linterna elastica que sirva para poneser en la cabeza o en el casco</t>
  </si>
  <si>
    <t>Johan Esteban Florez Yepes</t>
  </si>
  <si>
    <t xml:space="preserve">09/12/2025 Notificado </t>
  </si>
  <si>
    <t>No es útil</t>
  </si>
  <si>
    <t>09/12/2024 Se le explicaron las razones por las cuales su idea no fue tenida en cuenta.</t>
  </si>
  <si>
    <t>Robert Smit Correa Conde</t>
  </si>
  <si>
    <t>Reemplazar estopa por trapitos</t>
  </si>
  <si>
    <t>Ya esta implementada, realizar analisis de reduccion de costos</t>
  </si>
  <si>
    <t>Ever Alexis Duque Laverde</t>
  </si>
  <si>
    <t>Plataforma movil para cargue de material máquina 18</t>
  </si>
  <si>
    <t>No es viable por falta de espacio en la zona y por la complejidad para maniobrar y fabricar.</t>
  </si>
  <si>
    <t>Ismael Montoya</t>
  </si>
  <si>
    <t>Bitácora de montajes y moldes por máquina</t>
  </si>
  <si>
    <t>Conectar con el archivo de combinaciones de planeación de la producción. (Gustavo Ossa y Eduard Tangarife)</t>
  </si>
  <si>
    <t>Eduard Tangarife</t>
  </si>
  <si>
    <t>Repositorio de fichas tecnicas de productos producidos</t>
  </si>
  <si>
    <t>Gustavo Ossa hablará con Camilo sobre la ubicación de las Fichas tecnicas en un espacio del tablero en vivo.</t>
  </si>
  <si>
    <t>Gustavo Ossa - Camilo Agudelo</t>
  </si>
  <si>
    <t>Miguel Angel Moscoso Muñoz</t>
  </si>
  <si>
    <t>Bitácora con información de peso de los moldes para balanceo en montajes</t>
  </si>
  <si>
    <t xml:space="preserve">Esta información la está levantando Edwin Jaramillo gestor ESMED. Implementado pesos, agregar centro de gravedad y espesores </t>
  </si>
  <si>
    <t>Edwin Jaramillo</t>
  </si>
  <si>
    <t>Bitacora con pesos de los productos</t>
  </si>
  <si>
    <t>Producción debe construir</t>
  </si>
  <si>
    <t>Viviana Maria Londoño Gutierrez</t>
  </si>
  <si>
    <t>Informar los despachos al cliente por mensaje, descartada por que ya esta dentro del contrato con EasySales</t>
  </si>
  <si>
    <t>Carpa para almacenar devoluciones de productos</t>
  </si>
  <si>
    <t>Coordinar con Diego Cuervo y Myriam para usar la carpa de productos como contenedores para almacenar las devoluciones.</t>
  </si>
  <si>
    <t>Miguel Alexander Dale Leal</t>
  </si>
  <si>
    <t>Norma Lucia Balcazar Posada</t>
  </si>
  <si>
    <t>Financiera</t>
  </si>
  <si>
    <t>Jojhan Esneider Mejia Araque</t>
  </si>
  <si>
    <t>Días para pagos  de bienestar y 90% de anticipo para proveedores.</t>
  </si>
  <si>
    <t>Tiempo de pagos bienestar y 90% de anticipos</t>
  </si>
  <si>
    <t>Se ha ejecutado los pagos del 90% del anticipo en los casos posibles.</t>
  </si>
  <si>
    <t>Daniela Zapata</t>
  </si>
  <si>
    <t>Paula Andrea Acevedo Carvajal</t>
  </si>
  <si>
    <t>Elaboración automática de impuesto</t>
  </si>
  <si>
    <t>Automatización de impuestos</t>
  </si>
  <si>
    <t>Se está ejecutando desde antes del programa de puntos por ideas</t>
  </si>
  <si>
    <t>Valentina Arboleda</t>
  </si>
  <si>
    <t>Materia prima a granel</t>
  </si>
  <si>
    <t xml:space="preserve">Valentina realizará cotización de dos opciones con y sin estibar en la bodega </t>
  </si>
  <si>
    <t>Diego Cuervo - Valentina Arboleda - Daniela Zapata</t>
  </si>
  <si>
    <t>Samuel Cardona Betancur</t>
  </si>
  <si>
    <t>Estructura en báscula de la mezcladora</t>
  </si>
  <si>
    <t>No soluciona el problema, hay otras opciones</t>
  </si>
  <si>
    <t>Nelson Tangarife Zapata</t>
  </si>
  <si>
    <t>Paola Johana Restrepo Rios</t>
  </si>
  <si>
    <t>App para entrega y remisiones</t>
  </si>
  <si>
    <t>Aplicativo para facturas y remisiones</t>
  </si>
  <si>
    <t>Diego Cuervo - Ingrid Perdomo</t>
  </si>
  <si>
    <t>Macetas Apilables</t>
  </si>
  <si>
    <t>No es un producto del core de negocio, falta mayor detalle de la idea</t>
  </si>
  <si>
    <t>Juan Fernando Restrepo</t>
  </si>
  <si>
    <t>Dimerizar iluminación de la planta</t>
  </si>
  <si>
    <t>Se debe hacer estudio de calidad de energía y se debe revisar con un luxometro la cantidad de luz requerida en la planta por area. Se debe cotizar y hacer un estudio del ROI para determinar su viabilidad.</t>
  </si>
  <si>
    <t>22/02/2025 Se cerró programa, colaborador sigue incapacitado, no se pudo sustentar.</t>
  </si>
  <si>
    <t>Revisar de nuevo</t>
  </si>
  <si>
    <t>Hector Leon Zapata Marulanda</t>
  </si>
  <si>
    <t>Jairo Eliecer Camargo Fábregas</t>
  </si>
  <si>
    <t>Charlas Ambientales</t>
  </si>
  <si>
    <t>Charlas ambientales</t>
  </si>
  <si>
    <t>Actualmente se hace  con TH la marca empleadora</t>
  </si>
  <si>
    <t>Marilú Velásquez García</t>
  </si>
  <si>
    <t>No aplica para el modelo de negocio de Rotoplast</t>
  </si>
  <si>
    <t>Desarenador</t>
  </si>
  <si>
    <t>Desarenador con tanques horizontales para usos en PTAP, lavadero autos, etc.</t>
  </si>
  <si>
    <t>Está en proceso, se debe definir si es una prioridad para este año</t>
  </si>
  <si>
    <t>Darlin Correa - Juan David</t>
  </si>
  <si>
    <t>Lina Marcela Correa Ruiz</t>
  </si>
  <si>
    <t>Lavadero Bicicletas</t>
  </si>
  <si>
    <t>Lavadero bicicletas</t>
  </si>
  <si>
    <t>No es un producto del core de negocio, se podría buscar un aliado para el desarrollo y comercialización</t>
  </si>
  <si>
    <t>Darlin Correa</t>
  </si>
  <si>
    <t>Soporte Saladero, no se considera una solución para mejora del producto</t>
  </si>
  <si>
    <t>Vasos con ripio de café</t>
  </si>
  <si>
    <t>Vasos con ripio de café para suvenires</t>
  </si>
  <si>
    <t>Se considera que no aplica para ejecutarse</t>
  </si>
  <si>
    <t>Cajon moto, se descarta por que no es un producto competitivo con otros materiales</t>
  </si>
  <si>
    <t>Leonela Garcia Rios</t>
  </si>
  <si>
    <t>Marcacion de reclamos, se acepta la sugerencia pero no es calificable por que no entra detro de los críterios de calificación</t>
  </si>
  <si>
    <t>Sandra Milena Echeverri Garcia</t>
  </si>
  <si>
    <t>Grupo para compartir información de mercadeo, no es viable unificar los contactos de clientes en un grupo</t>
  </si>
  <si>
    <t>Diligenciar formatos en celular y no excel</t>
  </si>
  <si>
    <t>Links para formatos administrativos</t>
  </si>
  <si>
    <t>Se ha implementado en sharepoint</t>
  </si>
  <si>
    <t>Paleta y cucharon para tanque tina</t>
  </si>
  <si>
    <t>Paleta cafetera</t>
  </si>
  <si>
    <t>Producto para comercializar, revisar con Darlin</t>
  </si>
  <si>
    <t>Carlos Alberto Cardona Mira</t>
  </si>
  <si>
    <t>Sistema para filtrado de agua lluvia y abastecimiento de la misma</t>
  </si>
  <si>
    <t>Sistema para filtración y almacenamiento de agua lluvia</t>
  </si>
  <si>
    <t>Revisar con Albeiro Burbano</t>
  </si>
  <si>
    <t>Luisa Fernanda Carmona Ortiz</t>
  </si>
  <si>
    <t>Las ideas presentadas ya estan implementadas, la base de datos de clientes finales no entra detro de los críterios de calificación</t>
  </si>
  <si>
    <t>Filtro Agua Lluvia con tanques botella</t>
  </si>
  <si>
    <t>Filtro con minerales para agua lluvia</t>
  </si>
  <si>
    <t>Pilar Cardona Gil</t>
  </si>
  <si>
    <t>Rana para marca Rotoplast</t>
  </si>
  <si>
    <t>Marca con Rana</t>
  </si>
  <si>
    <t>Se puede investigar la viabilidad</t>
  </si>
  <si>
    <t>Procedimiento para instalación de sépticos. Descartada por ser una tarea cotidiana del SIG</t>
  </si>
  <si>
    <t>Tanque estiercolero</t>
  </si>
  <si>
    <t>Tanque Estercolero</t>
  </si>
  <si>
    <t>Para consultar con Gabriel Jaime</t>
  </si>
  <si>
    <t>Dosificador de Sal</t>
  </si>
  <si>
    <t>Saladero con dispensador</t>
  </si>
  <si>
    <t>Revisar en comité innovación</t>
  </si>
  <si>
    <t>Pozo absorción, se descarta por costo elevado y existen otras soluciones mejores</t>
  </si>
  <si>
    <t>Informar los despachos a asesor por mensaje, descartada por que ya esta dentro del contrato con EasySales</t>
  </si>
  <si>
    <t>Chritian Rozo García</t>
  </si>
  <si>
    <t>Tanque Rectangular agua lluvia, el proyecto ya se tiene en los planes de Rotoplast, la forma rectangular no es la más recomendable para almacenar agua</t>
  </si>
  <si>
    <t>Sala de ventas en Planta Rotoplast</t>
  </si>
  <si>
    <t>Sala para atención a clientes en planta Rotoplast</t>
  </si>
  <si>
    <t>Ya se está construída, falta tema de atención</t>
  </si>
  <si>
    <t>Actualizar bases de datos de clientes, es una tarea cotidiana del proceso comercial</t>
  </si>
  <si>
    <t>Laura debe informar</t>
  </si>
  <si>
    <t>O-ring y anillo de retención para pistolas de impacto</t>
  </si>
  <si>
    <t>Validar con Sebastian Ossa si ya se implementó y hacerle seguimiento por parte de los supervisores y Edwin Jaramillo.</t>
  </si>
  <si>
    <t xml:space="preserve">Cristian Cardona - Edwin Jaramillo </t>
  </si>
  <si>
    <t xml:space="preserve">No sirve el producto </t>
  </si>
  <si>
    <t>Manija para tapa de desagues</t>
  </si>
  <si>
    <t>Corresponde a infraestructura verificar su disponibilidad para la implementación</t>
  </si>
  <si>
    <t>Cristian Alzate</t>
  </si>
  <si>
    <t>Estructura para evitar corriente de aire en la maquina 8 y 17</t>
  </si>
  <si>
    <t>Realizar una prueba con carton para validar si hay impacto en el proceso</t>
  </si>
  <si>
    <t>Juan Carlos Arango Gutierrez</t>
  </si>
  <si>
    <t>Carretel para enrrollar manguera</t>
  </si>
  <si>
    <t>Viable para implementar, el tiempo depende de la disponbilidad de mantenimiento.</t>
  </si>
  <si>
    <t>Juan Esteban Cano Valencia</t>
  </si>
  <si>
    <t>9/12/2024 Se informa que la empresa ya tiene un programa llamado marca empleadora.</t>
  </si>
  <si>
    <t>Ya fue presentada</t>
  </si>
  <si>
    <t>Habladores para el uso responsable de la estopa</t>
  </si>
  <si>
    <t>Apoyo con comunicaciónes,TH y ambiental, indicadores y campaña completa</t>
  </si>
  <si>
    <t>09/12/2024 Operario pide una segunda revisión, prueba pendiente con espatula, no ha presentado video. Nunca envió evidencia, se descarta.</t>
  </si>
  <si>
    <t>09/12/2024 Metodo de secado con aire a presión, se descarta porque ya se hicieron pruebas Notificado</t>
  </si>
  <si>
    <t>Sistema Andon</t>
  </si>
  <si>
    <t xml:space="preserve">Desde MAP5S se había evaluado, pendiente presupuesto e implementación </t>
  </si>
  <si>
    <t>9/12/2024 Notificado</t>
  </si>
  <si>
    <t>Banda transportadora para inyectora</t>
  </si>
  <si>
    <t>Sujeta a cotización.</t>
  </si>
  <si>
    <t>Reducción de mano de obra en flama</t>
  </si>
  <si>
    <t>NA, esta situación ya se estaba abordando con el proyecto HQ y se espera cerrar con la implementación completa de este proyecto</t>
  </si>
  <si>
    <t>Alexander Romaña</t>
  </si>
  <si>
    <t xml:space="preserve">Pistolas manuales para aire comprimido </t>
  </si>
  <si>
    <t>Ya está en las zonas donde se requieren.</t>
  </si>
  <si>
    <t>Cepillo de cerdas suaves para evitar uso del aire comprimido</t>
  </si>
  <si>
    <t>Esta condición sera corregida en subarashi cultura</t>
  </si>
  <si>
    <t>Jenifer Mesa Castaño</t>
  </si>
  <si>
    <t>07/01/2025 desde SST no se considera viable el aire comprimido para la limpieza del polietileno, al generar riesgo de afectación en la piel o en los ojos y también por temas de costos y consecuencias para la planta en el proceso productivo.</t>
  </si>
  <si>
    <t>Se requiere flexibilidad en las áreas.</t>
  </si>
  <si>
    <t>PREMIO REDIMIDO</t>
  </si>
  <si>
    <t xml:space="preserve">VALOR </t>
  </si>
  <si>
    <t>FECHA</t>
  </si>
  <si>
    <t>PUNTOS ACUMULADOS</t>
  </si>
  <si>
    <t>PUNTOS REDIMIDOS</t>
  </si>
  <si>
    <t>PUNTOS RESTANTES</t>
  </si>
  <si>
    <t>ENTREGA</t>
  </si>
  <si>
    <t>Efectivo por liquidación</t>
  </si>
  <si>
    <t>Nómina</t>
  </si>
  <si>
    <t>Bono creps</t>
  </si>
  <si>
    <t>Maria Alejandra Aguirre</t>
  </si>
  <si>
    <t>Bono D1</t>
  </si>
  <si>
    <t>Luis Felipe Zapata Valencia</t>
  </si>
  <si>
    <t>Valentina Caruso</t>
  </si>
  <si>
    <t>Total</t>
  </si>
  <si>
    <t>Nombre</t>
  </si>
  <si>
    <t>Cantidad Ideas</t>
  </si>
  <si>
    <t>Suma de Puntos</t>
  </si>
  <si>
    <t>Proceso</t>
  </si>
  <si>
    <t>Total general</t>
  </si>
  <si>
    <t>Premio</t>
  </si>
  <si>
    <t>Valor</t>
  </si>
  <si>
    <t>Cantidad</t>
  </si>
  <si>
    <t>Valor Punto</t>
  </si>
  <si>
    <t>Puntos</t>
  </si>
  <si>
    <t>Viaje para 2 personas  San Andrés incluye ingreso a la isla</t>
  </si>
  <si>
    <t>Computador Portatil 14"</t>
  </si>
  <si>
    <t>Televisor 50"</t>
  </si>
  <si>
    <t>Air fryer</t>
  </si>
  <si>
    <t>Día de sol santorini</t>
  </si>
  <si>
    <t>Día de sol guatapé</t>
  </si>
  <si>
    <t>Parlante</t>
  </si>
  <si>
    <t>Audífonos</t>
  </si>
  <si>
    <t>Tour de miradores</t>
  </si>
  <si>
    <t>Ancheta carne</t>
  </si>
  <si>
    <t>Bono parque norte</t>
  </si>
  <si>
    <t>Bono clásico medellín nacional</t>
  </si>
  <si>
    <t>Bono cancha sintética</t>
  </si>
  <si>
    <t>Bono EPM</t>
  </si>
  <si>
    <t>Bono para cabello</t>
  </si>
  <si>
    <t>Bono limpieza</t>
  </si>
  <si>
    <t>Tanqueada de gasolina</t>
  </si>
  <si>
    <t>Recarga cívica</t>
  </si>
  <si>
    <t>Bono comida mascota</t>
  </si>
  <si>
    <t>Bono happy city</t>
  </si>
  <si>
    <t>Bono barbería</t>
  </si>
  <si>
    <t>Recarga datos</t>
  </si>
  <si>
    <t>REGISTRO NOTIFICACIONES</t>
  </si>
  <si>
    <t>PUNTOS POR IDEAS</t>
  </si>
  <si>
    <t>FESTIVOS</t>
  </si>
  <si>
    <t>CELULAR</t>
  </si>
  <si>
    <t>FECHA RADICADO</t>
  </si>
  <si>
    <t xml:space="preserve">FECHA NOT. IDEA RECIBIDA </t>
  </si>
  <si>
    <t xml:space="preserve">FECHA NOT. PUNTOS ACUMULADOS </t>
  </si>
  <si>
    <t>DIAS TRANS. TOTALES</t>
  </si>
  <si>
    <t xml:space="preserve"> Jesus Alberto Zapata Rueda</t>
  </si>
  <si>
    <t>Esteban Sanchez Montoya</t>
  </si>
  <si>
    <t>Andres Felipe Ortega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</si>
</sst>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164" formatCode="_-&quot;$&quot;\ * #,##0_-;\-&quot;$&quot;\ * #,##0_-;_-&quot;$&quot;\ * &quot;-&quot;??_-;_-@_-"/>
    <numFmt numFmtId="165" formatCode="_-&quot;$&quot;\ * #,##0.0_-;\-&quot;$&quot;\ * #,##0.0_-;_-&quot;$&quot;\ * &quot;-&quot;??_-;_-@_-"/>
    <numFmt numFmtId="166" formatCode="&quot;$&quot;\ #,##0"/>
    <numFmt numFmtId="167" formatCode="dd/mm/yyyy;@"/>
    <numFmt numFmtId="168" formatCode="#,##0_ ;\-#,##0\ "/>
    <numFmt numFmtId="169" formatCode="_-[$$-409]* #,##0.00_ ;_-[$$-409]* \-#,##0.00\ ;_-[$$-409]* &quot;-&quot;??_ ;_-@_ "/>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theme="1"/>
      <name val="Cambria"/>
      <family val="1"/>
    </font>
    <font>
      <b/>
      <sz val="11"/>
      <color theme="1"/>
      <name val="Cambria"/>
      <family val="1"/>
    </font>
    <font>
      <b/>
      <sz val="14"/>
      <color theme="0"/>
      <name val="Cambria"/>
      <family val="1"/>
    </font>
    <font>
      <b/>
      <sz val="16"/>
      <color theme="1"/>
      <name val="Cambria"/>
      <family val="1"/>
    </font>
    <font>
      <b/>
      <sz val="11"/>
      <color theme="0"/>
      <name val="Cambria"/>
      <family val="1"/>
    </font>
    <font>
      <sz val="11"/>
      <color rgb="FF000000"/>
      <name val="Cambria"/>
      <family val="1"/>
    </font>
    <font>
      <sz val="11"/>
      <color rgb="FFFF0000"/>
      <name val="Cambria"/>
      <family val="1"/>
    </font>
    <font>
      <sz val="11"/>
      <name val="Cambria"/>
      <family val="1"/>
    </font>
    <font>
      <sz val="11"/>
      <name val="Aptos Narrow"/>
      <family val="2"/>
      <scheme val="minor"/>
    </font>
  </fonts>
  <fills count="17">
    <fill>
      <patternFill patternType="none"/>
    </fill>
    <fill>
      <patternFill patternType="gray125"/>
    </fill>
    <fill>
      <patternFill patternType="solid">
        <fgColor theme="9"/>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rgb="FFDAF2D0"/>
        <bgColor rgb="FFDAF2D0"/>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0" tint="-0.14999847407452621"/>
        <bgColor indexed="64"/>
      </patternFill>
    </fill>
  </fills>
  <borders count="34">
    <border>
      <left/>
      <right/>
      <top/>
      <bottom/>
      <diagonal/>
    </border>
    <border>
      <left style="thin">
        <color indexed="64"/>
      </left>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thin">
        <color indexed="64"/>
      </top>
      <bottom style="medium">
        <color rgb="FF000000"/>
      </bottom>
      <diagonal/>
    </border>
    <border>
      <left/>
      <right style="thin">
        <color indexed="64"/>
      </right>
      <top style="thin">
        <color indexed="64"/>
      </top>
      <bottom style="thin">
        <color indexed="64"/>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indexed="64"/>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theme="9"/>
      </left>
      <right style="thin">
        <color theme="9"/>
      </right>
      <top style="thin">
        <color indexed="64"/>
      </top>
      <bottom style="medium">
        <color theme="9"/>
      </bottom>
      <diagonal/>
    </border>
    <border>
      <left style="thin">
        <color theme="9"/>
      </left>
      <right style="thin">
        <color theme="9"/>
      </right>
      <top style="thin">
        <color theme="9"/>
      </top>
      <bottom style="thin">
        <color theme="9"/>
      </bottom>
      <diagonal/>
    </border>
    <border>
      <left/>
      <right style="thin">
        <color theme="9"/>
      </right>
      <top style="thin">
        <color theme="9"/>
      </top>
      <bottom/>
      <diagonal/>
    </border>
    <border>
      <left/>
      <right style="thin">
        <color theme="9"/>
      </right>
      <top style="thin">
        <color indexed="64"/>
      </top>
      <bottom style="medium">
        <color theme="9"/>
      </bottom>
      <diagonal/>
    </border>
    <border>
      <left/>
      <right style="thin">
        <color theme="9"/>
      </right>
      <top/>
      <bottom/>
      <diagonal/>
    </border>
    <border>
      <left style="thin">
        <color theme="9"/>
      </left>
      <right style="thin">
        <color theme="9"/>
      </right>
      <top/>
      <bottom/>
      <diagonal/>
    </border>
    <border>
      <left/>
      <right style="thin">
        <color theme="9"/>
      </right>
      <top style="thin">
        <color theme="9"/>
      </top>
      <bottom style="thin">
        <color theme="9"/>
      </bottom>
      <diagonal/>
    </border>
    <border>
      <left style="thin">
        <color theme="9"/>
      </left>
      <right style="thin">
        <color theme="9"/>
      </right>
      <top style="thin">
        <color theme="9"/>
      </top>
      <bottom/>
      <diagonal/>
    </border>
    <border>
      <left style="thin">
        <color rgb="FF4EA72E"/>
      </left>
      <right style="thin">
        <color rgb="FF4EA72E"/>
      </right>
      <top style="thin">
        <color rgb="FF4EA72E"/>
      </top>
      <bottom style="thin">
        <color rgb="FF4EA72E"/>
      </bottom>
      <diagonal/>
    </border>
    <border>
      <left style="thin">
        <color rgb="FF4EA72E"/>
      </left>
      <right style="thin">
        <color indexed="64"/>
      </right>
      <top style="thin">
        <color rgb="FF4EA72E"/>
      </top>
      <bottom style="thin">
        <color rgb="FF4EA72E"/>
      </bottom>
      <diagonal/>
    </border>
    <border>
      <left style="thin">
        <color theme="9"/>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3">
    <xf numFmtId="0" fontId="0" fillId="0" borderId="0" xfId="0"/>
    <xf numFmtId="9" fontId="0" fillId="0" borderId="0" xfId="0" applyNumberFormat="1"/>
    <xf numFmtId="9" fontId="0" fillId="0" borderId="0" xfId="2" applyFont="1"/>
    <xf numFmtId="0" fontId="0" fillId="0" borderId="0" xfId="0" applyAlignment="1">
      <alignment horizontal="center" vertical="center"/>
    </xf>
    <xf numFmtId="164" fontId="0" fillId="0" borderId="0" xfId="1" applyNumberFormat="1" applyFont="1"/>
    <xf numFmtId="0" fontId="2" fillId="0" borderId="0" xfId="0" applyFont="1" applyAlignment="1">
      <alignment horizontal="center" vertical="center" wrapText="1"/>
    </xf>
    <xf numFmtId="164" fontId="0" fillId="0" borderId="0" xfId="1" applyNumberFormat="1" applyFont="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3" borderId="5" xfId="0" applyFill="1" applyBorder="1"/>
    <xf numFmtId="0" fontId="0" fillId="3" borderId="7" xfId="0" applyFill="1" applyBorder="1"/>
    <xf numFmtId="9" fontId="0" fillId="4" borderId="13" xfId="0" applyNumberFormat="1" applyFill="1" applyBorder="1"/>
    <xf numFmtId="9" fontId="0" fillId="4" borderId="14" xfId="0" applyNumberFormat="1" applyFill="1" applyBorder="1"/>
    <xf numFmtId="0" fontId="2" fillId="4" borderId="12" xfId="0" applyFont="1" applyFill="1" applyBorder="1" applyAlignment="1">
      <alignment horizontal="center" vertical="center"/>
    </xf>
    <xf numFmtId="0" fontId="2" fillId="6" borderId="11" xfId="0" applyFont="1" applyFill="1" applyBorder="1" applyAlignment="1">
      <alignment horizontal="center" vertical="center" wrapText="1"/>
    </xf>
    <xf numFmtId="9" fontId="2" fillId="6" borderId="4" xfId="2" applyFont="1" applyFill="1" applyBorder="1" applyAlignment="1">
      <alignment horizontal="center" vertical="center" wrapText="1"/>
    </xf>
    <xf numFmtId="0" fontId="0" fillId="6" borderId="10" xfId="0" applyFill="1" applyBorder="1"/>
    <xf numFmtId="0" fontId="0" fillId="6" borderId="5" xfId="0" applyFill="1" applyBorder="1"/>
    <xf numFmtId="0" fontId="0" fillId="6" borderId="7" xfId="0" applyFill="1" applyBorder="1"/>
    <xf numFmtId="9" fontId="0" fillId="6" borderId="6" xfId="2" applyFont="1" applyFill="1" applyBorder="1" applyAlignment="1">
      <alignment horizontal="center"/>
    </xf>
    <xf numFmtId="9" fontId="0" fillId="6" borderId="8" xfId="2" applyFont="1" applyFill="1" applyBorder="1" applyAlignment="1">
      <alignment horizontal="center"/>
    </xf>
    <xf numFmtId="9" fontId="0" fillId="3" borderId="1" xfId="0" applyNumberFormat="1" applyFill="1" applyBorder="1" applyAlignment="1">
      <alignment horizontal="center"/>
    </xf>
    <xf numFmtId="9" fontId="0" fillId="3" borderId="9" xfId="0" applyNumberFormat="1" applyFill="1" applyBorder="1" applyAlignment="1">
      <alignment horizontal="center"/>
    </xf>
    <xf numFmtId="9" fontId="2" fillId="3" borderId="0" xfId="0" applyNumberFormat="1" applyFont="1" applyFill="1" applyAlignment="1">
      <alignment horizontal="center" vertical="center"/>
    </xf>
    <xf numFmtId="9" fontId="2" fillId="5" borderId="0" xfId="0" applyNumberFormat="1" applyFont="1" applyFill="1" applyAlignment="1">
      <alignment horizontal="center" vertical="center"/>
    </xf>
    <xf numFmtId="9" fontId="2" fillId="6" borderId="0" xfId="0" applyNumberFormat="1" applyFont="1" applyFill="1" applyAlignment="1">
      <alignment horizontal="center" vertical="center"/>
    </xf>
    <xf numFmtId="164" fontId="0" fillId="0" borderId="0" xfId="0" applyNumberFormat="1"/>
    <xf numFmtId="164" fontId="0" fillId="6" borderId="0" xfId="0" applyNumberFormat="1" applyFill="1"/>
    <xf numFmtId="165" fontId="0" fillId="0" borderId="0" xfId="1" applyNumberFormat="1" applyFont="1"/>
    <xf numFmtId="9" fontId="2" fillId="7" borderId="0" xfId="0" applyNumberFormat="1" applyFont="1" applyFill="1" applyAlignment="1">
      <alignment horizontal="center" vertical="center"/>
    </xf>
    <xf numFmtId="9" fontId="0" fillId="0" borderId="0" xfId="0" applyNumberFormat="1" applyAlignment="1">
      <alignment horizontal="center"/>
    </xf>
    <xf numFmtId="0" fontId="2" fillId="7" borderId="15" xfId="0" applyFont="1" applyFill="1" applyBorder="1" applyAlignment="1">
      <alignment horizontal="center" vertical="center" wrapText="1"/>
    </xf>
    <xf numFmtId="0" fontId="2" fillId="7" borderId="4" xfId="0" applyFont="1" applyFill="1" applyBorder="1" applyAlignment="1">
      <alignment horizontal="center" vertical="center" wrapText="1"/>
    </xf>
    <xf numFmtId="9" fontId="0" fillId="7" borderId="5" xfId="0" applyNumberFormat="1" applyFill="1" applyBorder="1"/>
    <xf numFmtId="9" fontId="0" fillId="7" borderId="6" xfId="0" applyNumberFormat="1" applyFill="1" applyBorder="1" applyAlignment="1">
      <alignment horizontal="center"/>
    </xf>
    <xf numFmtId="9" fontId="0" fillId="7" borderId="7" xfId="0" applyNumberFormat="1" applyFill="1" applyBorder="1"/>
    <xf numFmtId="9" fontId="0" fillId="7" borderId="8" xfId="0" applyNumberFormat="1" applyFill="1" applyBorder="1" applyAlignment="1">
      <alignment horizontal="center"/>
    </xf>
    <xf numFmtId="0" fontId="2" fillId="4" borderId="16" xfId="0" applyFont="1" applyFill="1" applyBorder="1" applyAlignment="1">
      <alignment horizontal="center" vertical="center" wrapText="1"/>
    </xf>
    <xf numFmtId="9" fontId="0" fillId="4" borderId="17" xfId="0" applyNumberFormat="1" applyFill="1" applyBorder="1" applyAlignment="1">
      <alignment horizontal="center"/>
    </xf>
    <xf numFmtId="9" fontId="0" fillId="4" borderId="18" xfId="0" applyNumberFormat="1" applyFill="1" applyBorder="1" applyAlignment="1">
      <alignment horizontal="center"/>
    </xf>
    <xf numFmtId="0" fontId="0" fillId="8" borderId="0" xfId="0" applyFill="1"/>
    <xf numFmtId="0" fontId="4" fillId="0" borderId="0" xfId="0" applyFont="1"/>
    <xf numFmtId="9" fontId="6" fillId="2" borderId="0" xfId="0" applyNumberFormat="1" applyFont="1" applyFill="1" applyAlignment="1">
      <alignment horizontal="center" vertical="center"/>
    </xf>
    <xf numFmtId="0" fontId="5" fillId="9" borderId="0" xfId="0" applyFont="1" applyFill="1" applyAlignment="1">
      <alignment horizontal="center" vertical="center" wrapText="1"/>
    </xf>
    <xf numFmtId="0" fontId="4" fillId="0" borderId="0" xfId="0" applyFont="1" applyAlignment="1">
      <alignment horizontal="right"/>
    </xf>
    <xf numFmtId="0" fontId="4" fillId="0" borderId="0" xfId="0" applyFont="1" applyAlignment="1">
      <alignment horizontal="center"/>
    </xf>
    <xf numFmtId="0" fontId="5" fillId="9" borderId="20" xfId="0" applyFont="1" applyFill="1" applyBorder="1" applyAlignment="1">
      <alignment horizontal="center" vertical="center" wrapText="1"/>
    </xf>
    <xf numFmtId="0" fontId="4" fillId="0" borderId="0" xfId="0" applyFont="1" applyAlignment="1">
      <alignment horizontal="right" vertical="center"/>
    </xf>
    <xf numFmtId="0" fontId="4" fillId="0" borderId="0" xfId="0" applyFont="1" applyAlignment="1">
      <alignment vertical="center"/>
    </xf>
    <xf numFmtId="0" fontId="4" fillId="0" borderId="0" xfId="0" applyFont="1" applyAlignment="1">
      <alignment horizontal="center" vertical="center"/>
    </xf>
    <xf numFmtId="9" fontId="4" fillId="0" borderId="0" xfId="2" applyFont="1" applyAlignment="1">
      <alignment horizontal="center" vertical="center"/>
    </xf>
    <xf numFmtId="9" fontId="4" fillId="0" borderId="0" xfId="2" applyFont="1" applyBorder="1" applyAlignment="1">
      <alignment horizontal="center" vertical="center"/>
    </xf>
    <xf numFmtId="0" fontId="0" fillId="0" borderId="0" xfId="0" applyAlignment="1">
      <alignment horizontal="right"/>
    </xf>
    <xf numFmtId="0" fontId="4" fillId="0" borderId="0" xfId="0" applyFont="1" applyAlignment="1">
      <alignment horizontal="left" vertical="center"/>
    </xf>
    <xf numFmtId="0" fontId="4" fillId="0" borderId="0" xfId="0" applyFont="1" applyAlignment="1">
      <alignment horizontal="left" vertical="center" wrapText="1"/>
    </xf>
    <xf numFmtId="0" fontId="9" fillId="10" borderId="0" xfId="0" applyFont="1" applyFill="1" applyAlignment="1">
      <alignment horizontal="right" vertical="center"/>
    </xf>
    <xf numFmtId="0" fontId="9" fillId="10" borderId="0" xfId="0" applyFont="1" applyFill="1" applyAlignment="1">
      <alignment vertical="center"/>
    </xf>
    <xf numFmtId="0" fontId="0" fillId="0" borderId="0" xfId="0" applyAlignment="1">
      <alignment horizontal="center"/>
    </xf>
    <xf numFmtId="0" fontId="9" fillId="0" borderId="0" xfId="0" applyFont="1" applyAlignment="1">
      <alignment horizontal="right"/>
    </xf>
    <xf numFmtId="0" fontId="9" fillId="0" borderId="0" xfId="0" applyFont="1"/>
    <xf numFmtId="167" fontId="4" fillId="0" borderId="0" xfId="0" applyNumberFormat="1" applyFont="1"/>
    <xf numFmtId="0" fontId="9" fillId="10" borderId="0" xfId="0" applyFont="1" applyFill="1" applyAlignment="1">
      <alignment horizontal="right"/>
    </xf>
    <xf numFmtId="0" fontId="9" fillId="10" borderId="0" xfId="0" applyFont="1" applyFill="1"/>
    <xf numFmtId="0" fontId="9" fillId="10" borderId="0" xfId="0" applyFont="1" applyFill="1" applyAlignment="1">
      <alignment horizontal="left" vertical="center"/>
    </xf>
    <xf numFmtId="0" fontId="9" fillId="0" borderId="0" xfId="0" applyFont="1" applyAlignment="1">
      <alignment horizontal="right" vertical="center"/>
    </xf>
    <xf numFmtId="0" fontId="9" fillId="0" borderId="0" xfId="0" applyFont="1" applyAlignment="1">
      <alignment vertical="center"/>
    </xf>
    <xf numFmtId="0" fontId="4" fillId="0" borderId="19" xfId="0" applyFont="1" applyBorder="1"/>
    <xf numFmtId="0" fontId="5" fillId="0" borderId="19" xfId="0" applyFont="1" applyBorder="1" applyAlignment="1">
      <alignment horizontal="center" vertical="center"/>
    </xf>
    <xf numFmtId="14" fontId="4" fillId="0" borderId="0" xfId="0" applyNumberFormat="1" applyFont="1"/>
    <xf numFmtId="0" fontId="9" fillId="10" borderId="0" xfId="0" applyFont="1" applyFill="1" applyAlignment="1">
      <alignment horizontal="center" vertical="center"/>
    </xf>
    <xf numFmtId="0" fontId="9" fillId="0" borderId="0" xfId="0" applyFont="1" applyAlignment="1">
      <alignment horizontal="center" vertical="center"/>
    </xf>
    <xf numFmtId="167" fontId="4" fillId="0" borderId="0" xfId="0" applyNumberFormat="1" applyFont="1" applyAlignment="1">
      <alignment horizontal="right"/>
    </xf>
    <xf numFmtId="167" fontId="0" fillId="0" borderId="0" xfId="0" applyNumberFormat="1"/>
    <xf numFmtId="0" fontId="4" fillId="0" borderId="0" xfId="1" applyNumberFormat="1" applyFont="1" applyBorder="1" applyAlignment="1">
      <alignment horizontal="right"/>
    </xf>
    <xf numFmtId="0" fontId="0" fillId="0" borderId="0" xfId="0" applyAlignment="1">
      <alignment vertical="center"/>
    </xf>
    <xf numFmtId="0" fontId="5" fillId="2" borderId="26"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4" fillId="0" borderId="29" xfId="0" applyFont="1" applyBorder="1" applyAlignment="1">
      <alignment horizontal="right" vertical="center"/>
    </xf>
    <xf numFmtId="0" fontId="4" fillId="0" borderId="24" xfId="0" applyFont="1" applyBorder="1" applyAlignment="1">
      <alignment vertical="center"/>
    </xf>
    <xf numFmtId="0" fontId="4" fillId="0" borderId="25" xfId="0" applyFont="1" applyBorder="1" applyAlignment="1">
      <alignment horizontal="right" vertical="center"/>
    </xf>
    <xf numFmtId="0" fontId="4" fillId="0" borderId="30" xfId="0" applyFont="1" applyBorder="1" applyAlignment="1">
      <alignment vertical="center"/>
    </xf>
    <xf numFmtId="168" fontId="0" fillId="0" borderId="0" xfId="1" applyNumberFormat="1" applyFont="1"/>
    <xf numFmtId="166" fontId="0" fillId="0" borderId="0" xfId="0" applyNumberFormat="1"/>
    <xf numFmtId="14" fontId="4" fillId="0" borderId="0" xfId="0" applyNumberFormat="1" applyFont="1" applyAlignment="1">
      <alignment horizontal="left" vertical="center" wrapText="1"/>
    </xf>
    <xf numFmtId="167" fontId="9" fillId="0" borderId="0" xfId="0" applyNumberFormat="1" applyFont="1" applyAlignment="1">
      <alignment horizontal="right"/>
    </xf>
    <xf numFmtId="0" fontId="0" fillId="0" borderId="0" xfId="0" applyAlignment="1">
      <alignment wrapText="1"/>
    </xf>
    <xf numFmtId="0" fontId="4" fillId="0" borderId="0" xfId="0" applyFont="1" applyAlignment="1">
      <alignment horizontal="left"/>
    </xf>
    <xf numFmtId="0" fontId="11" fillId="0" borderId="0" xfId="0" applyFont="1"/>
    <xf numFmtId="166" fontId="4" fillId="0" borderId="0" xfId="1" applyNumberFormat="1" applyFont="1" applyBorder="1" applyAlignment="1">
      <alignment horizontal="center" vertical="center"/>
    </xf>
    <xf numFmtId="0" fontId="4" fillId="0" borderId="0" xfId="0" applyFont="1" applyAlignment="1">
      <alignment horizontal="center" vertical="center" wrapText="1"/>
    </xf>
    <xf numFmtId="166" fontId="4" fillId="0" borderId="0" xfId="0" applyNumberFormat="1" applyFont="1" applyAlignment="1">
      <alignment horizontal="center" vertical="center"/>
    </xf>
    <xf numFmtId="0" fontId="10" fillId="0" borderId="0" xfId="0" applyFont="1" applyAlignment="1">
      <alignment horizontal="center" vertical="center" wrapText="1"/>
    </xf>
    <xf numFmtId="14" fontId="4" fillId="0" borderId="0" xfId="0" applyNumberFormat="1" applyFont="1" applyAlignment="1">
      <alignment horizontal="center" vertical="center" wrapText="1"/>
    </xf>
    <xf numFmtId="0" fontId="4" fillId="0" borderId="21" xfId="0" applyFont="1" applyBorder="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4" fillId="0" borderId="10" xfId="0" applyFont="1" applyBorder="1" applyAlignment="1">
      <alignment horizontal="left" vertical="center" wrapText="1"/>
    </xf>
    <xf numFmtId="0" fontId="4" fillId="2" borderId="0" xfId="0" applyFont="1" applyFill="1" applyAlignment="1">
      <alignment horizontal="left"/>
    </xf>
    <xf numFmtId="0" fontId="9" fillId="10" borderId="31" xfId="0" applyFont="1" applyFill="1" applyBorder="1" applyAlignment="1">
      <alignment wrapText="1"/>
    </xf>
    <xf numFmtId="0" fontId="9" fillId="0" borderId="31" xfId="0" applyFont="1" applyBorder="1" applyAlignment="1">
      <alignment wrapText="1"/>
    </xf>
    <xf numFmtId="0" fontId="9" fillId="10" borderId="32" xfId="0" applyFont="1" applyFill="1" applyBorder="1" applyAlignment="1">
      <alignment wrapText="1"/>
    </xf>
    <xf numFmtId="0" fontId="9" fillId="10" borderId="32" xfId="0" applyFont="1" applyFill="1" applyBorder="1" applyAlignment="1">
      <alignment horizontal="left" vertical="center" wrapText="1"/>
    </xf>
    <xf numFmtId="0" fontId="9" fillId="10" borderId="31" xfId="0" applyFont="1" applyFill="1" applyBorder="1" applyAlignment="1">
      <alignment horizontal="left" vertical="center" wrapText="1"/>
    </xf>
    <xf numFmtId="166" fontId="4" fillId="0" borderId="0" xfId="0" applyNumberFormat="1" applyFont="1" applyAlignment="1">
      <alignment vertical="center"/>
    </xf>
    <xf numFmtId="0" fontId="0" fillId="0" borderId="33" xfId="0" applyBorder="1"/>
    <xf numFmtId="166" fontId="4" fillId="0" borderId="0" xfId="0" applyNumberFormat="1" applyFont="1" applyAlignment="1">
      <alignment horizontal="right" vertical="center"/>
    </xf>
    <xf numFmtId="0" fontId="8" fillId="15" borderId="0" xfId="0" applyFont="1" applyFill="1" applyAlignment="1">
      <alignment horizontal="center" vertical="center" wrapText="1"/>
    </xf>
    <xf numFmtId="0" fontId="5" fillId="16" borderId="20" xfId="0" applyFont="1" applyFill="1" applyBorder="1" applyAlignment="1">
      <alignment horizontal="center" vertical="center" wrapText="1"/>
    </xf>
    <xf numFmtId="0" fontId="12" fillId="0" borderId="0" xfId="0" applyFont="1" applyAlignment="1">
      <alignment wrapText="1"/>
    </xf>
    <xf numFmtId="0" fontId="2" fillId="13" borderId="0" xfId="0" applyFont="1" applyFill="1" applyAlignment="1">
      <alignment horizontal="left"/>
    </xf>
    <xf numFmtId="0" fontId="4" fillId="0" borderId="27" xfId="0" applyFont="1" applyBorder="1" applyAlignment="1">
      <alignment horizontal="right" vertical="center"/>
    </xf>
    <xf numFmtId="0" fontId="4" fillId="0" borderId="28" xfId="0" applyFont="1" applyBorder="1" applyAlignment="1">
      <alignment vertical="center"/>
    </xf>
    <xf numFmtId="169" fontId="0" fillId="0" borderId="0" xfId="0" applyNumberFormat="1"/>
    <xf numFmtId="0" fontId="9" fillId="0" borderId="31" xfId="0" applyFont="1" applyBorder="1" applyAlignment="1">
      <alignment vertical="center" wrapText="1"/>
    </xf>
    <xf numFmtId="0" fontId="9" fillId="0" borderId="32" xfId="0" applyFont="1" applyBorder="1" applyAlignment="1">
      <alignment vertical="center" wrapText="1"/>
    </xf>
    <xf numFmtId="0" fontId="6" fillId="2" borderId="0" xfId="0" applyFont="1" applyFill="1" applyAlignment="1">
      <alignment horizontal="center" vertical="center"/>
    </xf>
    <xf numFmtId="0" fontId="4" fillId="0" borderId="19" xfId="0" applyFont="1" applyBorder="1" applyAlignment="1">
      <alignment horizontal="center"/>
    </xf>
    <xf numFmtId="0" fontId="4" fillId="0" borderId="1" xfId="0" applyFont="1" applyBorder="1" applyAlignment="1">
      <alignment horizontal="center"/>
    </xf>
    <xf numFmtId="0" fontId="6" fillId="14" borderId="22" xfId="0" applyFont="1" applyFill="1" applyBorder="1" applyAlignment="1">
      <alignment horizontal="center" vertical="center"/>
    </xf>
    <xf numFmtId="0" fontId="6" fillId="14" borderId="0" xfId="0" applyFont="1" applyFill="1" applyAlignment="1">
      <alignment horizontal="center" vertical="center"/>
    </xf>
    <xf numFmtId="0" fontId="7" fillId="0" borderId="19" xfId="0" applyFont="1" applyBorder="1" applyAlignment="1">
      <alignment horizontal="center" vertical="center"/>
    </xf>
    <xf numFmtId="0" fontId="6" fillId="2" borderId="22" xfId="0" applyFont="1" applyFill="1" applyBorder="1" applyAlignment="1">
      <alignment horizontal="center" vertical="center"/>
    </xf>
    <xf numFmtId="0" fontId="0" fillId="0" borderId="0" xfId="0" pivotButton="1" applyBorder="1"/>
    <xf numFmtId="0" fontId="0" fillId="0" borderId="0" xfId="0" applyBorder="1" applyAlignment="1">
      <alignment horizontal="right"/>
    </xf>
    <xf numFmtId="0" fontId="0" fillId="0" borderId="0" xfId="0" applyBorder="1" applyAlignment="1">
      <alignment horizontal="left"/>
    </xf>
    <xf numFmtId="0" fontId="0" fillId="0" borderId="0" xfId="0" applyNumberFormat="1" applyBorder="1"/>
    <xf numFmtId="0" fontId="0" fillId="11" borderId="0" xfId="0" applyNumberFormat="1" applyFill="1" applyBorder="1"/>
    <xf numFmtId="0" fontId="0" fillId="0" borderId="0" xfId="0" applyNumberFormat="1" applyFill="1" applyBorder="1"/>
    <xf numFmtId="0" fontId="0" fillId="12" borderId="0" xfId="0" applyNumberFormat="1" applyFill="1" applyBorder="1"/>
    <xf numFmtId="0" fontId="0" fillId="0" borderId="0" xfId="0" applyFill="1" applyBorder="1" applyAlignment="1">
      <alignment horizontal="left"/>
    </xf>
    <xf numFmtId="0" fontId="0" fillId="12" borderId="0" xfId="0" applyFill="1" applyBorder="1" applyAlignment="1">
      <alignment horizontal="left"/>
    </xf>
  </cellXfs>
  <cellStyles count="3">
    <cellStyle name="Moneda" xfId="1" builtinId="4"/>
    <cellStyle name="Normal" xfId="0" builtinId="0"/>
    <cellStyle name="Porcentaje" xfId="2" builtinId="5"/>
  </cellStyles>
  <dxfs count="17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alignment horizontal="right"/>
    </dxf>
    <dxf>
      <alignment horizontal="right"/>
    </dxf>
    <dxf>
      <alignment horizontal="left"/>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bgColor rgb="FFFF0000"/>
        </patternFill>
      </fill>
    </dxf>
    <dxf>
      <fill>
        <patternFill patternType="solid">
          <bgColor rgb="FFFF0000"/>
        </patternFill>
      </fill>
    </dxf>
    <dxf>
      <fill>
        <patternFill patternType="solid">
          <fgColor indexed="64"/>
          <bgColor rgb="FFFFFF00"/>
        </patternFill>
      </fill>
    </dxf>
    <dxf>
      <fill>
        <patternFill patternType="solid">
          <fgColor indexed="64"/>
          <bgColor rgb="FFFF00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right" vertical="bottom" textRotation="0" wrapText="0" indent="0" justifyLastLine="0" shrinkToFit="0" readingOrder="0"/>
    </dxf>
    <dxf>
      <font>
        <strike val="0"/>
        <outline val="0"/>
        <shadow val="0"/>
        <u val="none"/>
        <vertAlign val="baseline"/>
        <sz val="11"/>
        <name val="Cambria"/>
        <family val="1"/>
        <scheme val="none"/>
      </font>
      <numFmt numFmtId="167" formatCode="dd/mm/yyyy;@"/>
      <alignment horizontal="right"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right" vertical="bottom" textRotation="0" wrapText="0" indent="0" justifyLastLine="0" shrinkToFit="0" readingOrder="0"/>
    </dxf>
    <dxf>
      <font>
        <strike val="0"/>
        <outline val="0"/>
        <shadow val="0"/>
        <u val="none"/>
        <vertAlign val="baseline"/>
        <sz val="11"/>
        <name val="Cambria"/>
        <family val="1"/>
        <scheme val="none"/>
      </font>
      <numFmt numFmtId="167" formatCode="dd/mm/yyyy;@"/>
      <alignment horizontal="right"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dxf>
    <dxf>
      <font>
        <b val="0"/>
        <i val="0"/>
        <strike val="0"/>
        <condense val="0"/>
        <extend val="0"/>
        <outline val="0"/>
        <shadow val="0"/>
        <u val="none"/>
        <vertAlign val="baseline"/>
        <sz val="11"/>
        <color theme="1"/>
        <name val="Cambria"/>
        <family val="1"/>
        <scheme val="none"/>
      </font>
      <numFmt numFmtId="167" formatCode="dd/mm/yyyy;@"/>
    </dxf>
    <dxf>
      <font>
        <b val="0"/>
        <i val="0"/>
        <strike val="0"/>
        <condense val="0"/>
        <extend val="0"/>
        <outline val="0"/>
        <shadow val="0"/>
        <u val="none"/>
        <vertAlign val="baseline"/>
        <sz val="11"/>
        <color theme="1"/>
        <name val="Cambria"/>
        <family val="1"/>
        <scheme val="none"/>
      </font>
      <alignment horizontal="right" vertical="bottom" textRotation="0" wrapText="0" indent="0" justifyLastLine="0" shrinkToFit="0" readingOrder="0"/>
    </dxf>
    <dxf>
      <font>
        <strike val="0"/>
        <outline val="0"/>
        <shadow val="0"/>
        <u val="none"/>
        <vertAlign val="baseline"/>
        <name val="Cambria"/>
        <family val="1"/>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dxf>
    <dxf>
      <font>
        <strike val="0"/>
        <outline val="0"/>
        <shadow val="0"/>
        <u val="none"/>
        <vertAlign val="baseline"/>
        <name val="Cambria"/>
        <family val="1"/>
        <scheme val="none"/>
      </font>
    </dxf>
    <dxf>
      <font>
        <b val="0"/>
        <i val="0"/>
        <strike val="0"/>
        <condense val="0"/>
        <extend val="0"/>
        <outline val="0"/>
        <shadow val="0"/>
        <u val="none"/>
        <vertAlign val="baseline"/>
        <sz val="11"/>
        <color theme="1"/>
        <name val="Cambria"/>
        <family val="1"/>
        <scheme val="none"/>
      </font>
      <alignment horizontal="right" vertical="bottom" textRotation="0" wrapText="0" indent="0" justifyLastLine="0" shrinkToFit="0" readingOrder="0"/>
    </dxf>
    <dxf>
      <font>
        <strike val="0"/>
        <outline val="0"/>
        <shadow val="0"/>
        <u val="none"/>
        <vertAlign val="baseline"/>
        <name val="Cambria"/>
        <family val="1"/>
        <scheme val="none"/>
      </font>
      <alignment horizontal="righ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dxf>
    <dxf>
      <border>
        <bottom style="thin">
          <color indexed="64"/>
        </bottom>
      </border>
    </dxf>
    <dxf>
      <font>
        <b/>
        <i val="0"/>
        <strike val="0"/>
        <condense val="0"/>
        <extend val="0"/>
        <outline val="0"/>
        <shadow val="0"/>
        <u val="none"/>
        <vertAlign val="baseline"/>
        <sz val="11"/>
        <color theme="1"/>
        <name val="Cambria"/>
        <family val="1"/>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4" formatCode="_-&quot;$&quot;\ * #,##0_-;\-&quot;$&quot;\ * #,##0_-;_-&quot;$&quot;\ * &quot;-&quot;??_-;_-@_-"/>
    </dxf>
    <dxf>
      <font>
        <b val="0"/>
        <i val="0"/>
        <strike val="0"/>
        <condense val="0"/>
        <extend val="0"/>
        <outline val="0"/>
        <shadow val="0"/>
        <u val="none"/>
        <vertAlign val="baseline"/>
        <sz val="11"/>
        <color theme="1"/>
        <name val="Aptos Narrow"/>
        <family val="2"/>
        <scheme val="minor"/>
      </font>
      <numFmt numFmtId="168" formatCode="#,##0_ ;\-#,##0\ "/>
    </dxf>
    <dxf>
      <numFmt numFmtId="164" formatCode="_-&quot;$&quot;\ * #,##0_-;\-&quot;$&quot;\ * #,##0_-;_-&quot;$&quot;\ * &quot;-&quot;??_-;_-@_-"/>
    </dxf>
    <dxf>
      <font>
        <b val="0"/>
        <i val="0"/>
        <strike val="0"/>
        <condense val="0"/>
        <extend val="0"/>
        <outline val="0"/>
        <shadow val="0"/>
        <u val="none"/>
        <vertAlign val="baseline"/>
        <sz val="11"/>
        <color theme="1"/>
        <name val="Aptos Narrow"/>
        <family val="2"/>
        <scheme val="minor"/>
      </font>
      <numFmt numFmtId="164" formatCode="_-&quot;$&quot;\ * #,##0_-;\-&quot;$&quot;\ * #,##0_-;_-&quot;$&quot;\ * &quot;-&quot;??_-;_-@_-"/>
    </dxf>
    <dxf>
      <numFmt numFmtId="164" formatCode="_-&quot;$&quot;\ * #,##0_-;\-&quot;$&quot;\ * #,##0_-;_-&quot;$&quot;\ * &quot;-&quot;??_-;_-@_-"/>
      <fill>
        <patternFill patternType="solid">
          <fgColor indexed="64"/>
          <bgColor theme="9" tint="0.79998168889431442"/>
        </patternFill>
      </fill>
    </dxf>
    <dxf>
      <numFmt numFmtId="164" formatCode="_-&quot;$&quot;\ * #,##0_-;\-&quot;$&quot;\ * #,##0_-;_-&quot;$&quot;\ * &quot;-&quot;??_-;_-@_-"/>
    </dxf>
    <dxf>
      <numFmt numFmtId="164" formatCode="_-&quot;$&quot;\ * #,##0_-;\-&quot;$&quot;\ * #,##0_-;_-&quot;$&quot;\ * &quot;-&quot;??_-;_-@_-"/>
    </dxf>
    <dxf>
      <numFmt numFmtId="164" formatCode="_-&quot;$&quot;\ * #,##0_-;\-&quot;$&quot;\ * #,##0_-;_-&quot;$&quot;\ * &quot;-&quot;??_-;_-@_-"/>
    </dxf>
    <dxf>
      <alignment horizontal="center" vertical="center" textRotation="0" wrapText="0" indent="0" justifyLastLine="0" shrinkToFit="0" readingOrder="0"/>
    </dxf>
    <dxf>
      <numFmt numFmtId="167" formatCode="dd/mm/yyyy;@"/>
    </dxf>
    <dxf>
      <numFmt numFmtId="169" formatCode="_-[$$-409]* #,##0.00_ ;_-[$$-409]* \-#,##0.00\ ;_-[$$-409]* &quot;-&quot;??_ ;_-@_ "/>
    </dxf>
    <dxf>
      <numFmt numFmtId="166" formatCode="&quot;$&quot;\ #,##0"/>
    </dxf>
    <dxf>
      <border diagonalUp="0" diagonalDown="0" outline="0">
        <left style="thin">
          <color theme="9"/>
        </left>
        <right/>
        <top/>
        <bottom/>
      </border>
    </dxf>
    <dxf>
      <border outline="0">
        <left style="thin">
          <color theme="9"/>
        </left>
        <right/>
      </border>
    </dxf>
    <dxf>
      <font>
        <b val="0"/>
        <i val="0"/>
        <strike val="0"/>
        <condense val="0"/>
        <extend val="0"/>
        <outline val="0"/>
        <shadow val="0"/>
        <u val="none"/>
        <vertAlign val="baseline"/>
        <sz val="11"/>
        <color theme="1"/>
        <name val="Cambria"/>
        <family val="1"/>
        <scheme val="none"/>
      </font>
      <alignment horizontal="general" vertical="center" textRotation="0" wrapText="0" indent="0" justifyLastLine="0" shrinkToFit="0" readingOrder="0"/>
      <border diagonalUp="0" diagonalDown="0" outline="0">
        <left style="thin">
          <color theme="9"/>
        </left>
        <right style="thin">
          <color theme="9"/>
        </right>
        <top/>
        <bottom/>
      </border>
    </dxf>
    <dxf>
      <font>
        <b val="0"/>
        <i val="0"/>
        <strike val="0"/>
        <condense val="0"/>
        <extend val="0"/>
        <outline val="0"/>
        <shadow val="0"/>
        <u val="none"/>
        <vertAlign val="baseline"/>
        <sz val="11"/>
        <color theme="1"/>
        <name val="Cambria"/>
        <family val="1"/>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mbria"/>
        <family val="1"/>
        <scheme val="none"/>
      </font>
      <alignment horizontal="right" vertical="center" textRotation="0" wrapText="0" indent="0" justifyLastLine="0" shrinkToFit="0" readingOrder="0"/>
      <border diagonalUp="0" diagonalDown="0" outline="0">
        <left/>
        <right style="thin">
          <color theme="9"/>
        </right>
        <top/>
        <bottom/>
      </border>
    </dxf>
    <dxf>
      <font>
        <b val="0"/>
        <i val="0"/>
        <strike val="0"/>
        <condense val="0"/>
        <extend val="0"/>
        <outline val="0"/>
        <shadow val="0"/>
        <u val="none"/>
        <vertAlign val="baseline"/>
        <sz val="11"/>
        <color theme="1"/>
        <name val="Cambria"/>
        <family val="1"/>
        <scheme val="none"/>
      </font>
      <fill>
        <patternFill patternType="none">
          <fgColor indexed="64"/>
          <bgColor auto="1"/>
        </patternFill>
      </fill>
      <alignment horizontal="right" vertical="center" textRotation="0" wrapText="0" indent="0" justifyLastLine="0" shrinkToFit="0" readingOrder="0"/>
      <border diagonalUp="0" diagonalDown="0" outline="0">
        <left/>
        <right style="thin">
          <color theme="9"/>
        </right>
        <top style="thin">
          <color theme="9"/>
        </top>
        <bottom style="thin">
          <color theme="9"/>
        </bottom>
      </border>
    </dxf>
    <dxf>
      <border outline="0">
        <left style="thin">
          <color indexed="64"/>
        </left>
      </border>
    </dxf>
    <dxf>
      <font>
        <b/>
        <i val="0"/>
        <strike val="0"/>
        <condense val="0"/>
        <extend val="0"/>
        <outline val="0"/>
        <shadow val="0"/>
        <u val="none"/>
        <vertAlign val="baseline"/>
        <sz val="11"/>
        <color theme="1"/>
        <name val="Cambria"/>
        <family val="1"/>
        <scheme val="none"/>
      </font>
      <fill>
        <patternFill patternType="solid">
          <fgColor indexed="64"/>
          <bgColor theme="9"/>
        </patternFill>
      </fill>
      <alignment horizontal="center" vertical="center" textRotation="0" wrapText="1" indent="0" justifyLastLine="0" shrinkToFit="0" readingOrder="0"/>
      <border diagonalUp="0" diagonalDown="0" outline="0">
        <left style="thin">
          <color theme="9"/>
        </left>
        <right style="thin">
          <color theme="9"/>
        </right>
        <top/>
        <bottom/>
      </border>
    </dxf>
    <dxf>
      <font>
        <strike val="0"/>
        <outline val="0"/>
        <shadow val="0"/>
        <u val="none"/>
        <vertAlign val="baseline"/>
        <name val="Cambria"/>
        <family val="1"/>
        <scheme val="none"/>
      </font>
      <alignment horizontal="center" vertical="center" textRotation="0" indent="0" justifyLastLine="0" shrinkToFit="0" readingOrder="0"/>
    </dxf>
    <dxf>
      <font>
        <strike val="0"/>
        <outline val="0"/>
        <shadow val="0"/>
        <u val="none"/>
        <vertAlign val="baseline"/>
        <name val="Cambria"/>
        <family val="1"/>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1" indent="0" justifyLastLine="0" shrinkToFit="0" readingOrder="0"/>
    </dxf>
    <dxf>
      <font>
        <strike val="0"/>
        <outline val="0"/>
        <shadow val="0"/>
        <u val="none"/>
        <vertAlign val="baseline"/>
        <name val="Cambria"/>
        <family val="1"/>
        <scheme val="none"/>
      </font>
      <numFmt numFmtId="0" formatCode="General"/>
      <alignment horizontal="left" vertical="center" textRotation="0" wrapText="1" indent="0" justifyLastLine="0" shrinkToFit="0" readingOrder="0"/>
    </dxf>
    <dxf>
      <font>
        <strike val="0"/>
        <outline val="0"/>
        <shadow val="0"/>
        <u val="none"/>
        <vertAlign val="baseline"/>
        <name val="Cambria"/>
        <family val="1"/>
        <scheme val="none"/>
      </font>
      <numFmt numFmtId="0" formatCode="General"/>
      <alignment horizontal="center" vertical="center" textRotation="0" indent="0" justifyLastLine="0" shrinkToFit="0" readingOrder="0"/>
    </dxf>
    <dxf>
      <font>
        <strike val="0"/>
        <outline val="0"/>
        <shadow val="0"/>
        <u val="none"/>
        <vertAlign val="baseline"/>
        <name val="Cambria"/>
        <family val="1"/>
        <scheme val="none"/>
      </font>
      <alignment horizontal="center" vertical="center" textRotation="0" indent="0" justifyLastLine="0" shrinkToFit="0" readingOrder="0"/>
    </dxf>
    <dxf>
      <font>
        <strike val="0"/>
        <outline val="0"/>
        <shadow val="0"/>
        <u val="none"/>
        <vertAlign val="baseline"/>
        <name val="Cambria"/>
        <family val="1"/>
        <scheme val="none"/>
      </font>
      <numFmt numFmtId="0" formatCode="General"/>
      <alignment horizontal="center" vertical="center" textRotation="0" indent="0" justifyLastLine="0" shrinkToFit="0" readingOrder="0"/>
    </dxf>
    <dxf>
      <font>
        <strike val="0"/>
        <outline val="0"/>
        <shadow val="0"/>
        <u val="none"/>
        <vertAlign val="baseline"/>
        <name val="Cambria"/>
        <family val="1"/>
        <scheme val="none"/>
      </font>
      <numFmt numFmtId="0" formatCode="General"/>
      <alignment horizontal="center" vertical="center" textRotation="0" indent="0" justifyLastLine="0" shrinkToFit="0" readingOrder="0"/>
    </dxf>
    <dxf>
      <font>
        <strike val="0"/>
        <outline val="0"/>
        <shadow val="0"/>
        <u val="none"/>
        <vertAlign val="baseline"/>
        <name val="Cambria"/>
        <family val="1"/>
        <scheme val="none"/>
      </font>
      <numFmt numFmtId="0" formatCode="General"/>
      <alignment horizontal="center" vertical="center" textRotation="0" indent="0" justifyLastLine="0" shrinkToFit="0" readingOrder="0"/>
    </dxf>
    <dxf>
      <font>
        <strike val="0"/>
        <outline val="0"/>
        <shadow val="0"/>
        <u val="none"/>
        <vertAlign val="baseline"/>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alignment horizontal="center" vertical="center" textRotation="0" indent="0" justifyLastLine="0" shrinkToFit="0" readingOrder="0"/>
    </dxf>
    <dxf>
      <font>
        <strike val="0"/>
        <outline val="0"/>
        <shadow val="0"/>
        <u val="none"/>
        <vertAlign val="baseline"/>
        <name val="Cambria"/>
        <family val="1"/>
        <scheme val="none"/>
      </font>
      <alignment horizontal="center" vertical="center" textRotation="0" indent="0" justifyLastLine="0" shrinkToFit="0" readingOrder="0"/>
    </dxf>
    <dxf>
      <font>
        <strike val="0"/>
        <outline val="0"/>
        <shadow val="0"/>
        <u val="none"/>
        <vertAlign val="baseline"/>
        <name val="Cambria"/>
        <family val="1"/>
        <scheme val="none"/>
      </font>
      <numFmt numFmtId="166" formatCode="&quot;$&quot;\ #,##0"/>
      <alignment horizontal="center" vertical="center" textRotation="0" indent="0" justifyLastLine="0" shrinkToFit="0" readingOrder="0"/>
    </dxf>
    <dxf>
      <font>
        <b val="0"/>
        <i val="0"/>
        <strike val="0"/>
        <condense val="0"/>
        <extend val="0"/>
        <outline val="0"/>
        <shadow val="0"/>
        <u val="none"/>
        <vertAlign val="baseline"/>
        <sz val="11"/>
        <color theme="1"/>
        <name val="Cambria"/>
        <family val="1"/>
        <scheme val="none"/>
      </font>
      <fill>
        <patternFill patternType="solid">
          <fgColor indexed="64"/>
          <bgColor rgb="FFFF0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strike val="0"/>
        <outline val="0"/>
        <shadow val="0"/>
        <u val="none"/>
        <vertAlign val="baseline"/>
        <name val="Cambria"/>
        <family val="1"/>
        <scheme val="none"/>
      </font>
      <alignment horizontal="center" vertical="center" textRotation="0" indent="0" justifyLastLine="0" shrinkToFit="0" readingOrder="0"/>
    </dxf>
    <dxf>
      <font>
        <strike val="0"/>
        <outline val="0"/>
        <shadow val="0"/>
        <u val="none"/>
        <vertAlign val="baseline"/>
        <name val="Cambria"/>
        <family val="1"/>
        <scheme val="none"/>
      </font>
      <alignment horizontal="left" vertical="center" textRotation="0" wrapText="0" indent="0" justifyLastLine="0" shrinkToFit="0" readingOrder="0"/>
    </dxf>
    <dxf>
      <font>
        <strike val="0"/>
        <outline val="0"/>
        <shadow val="0"/>
        <u val="none"/>
        <vertAlign val="baseline"/>
        <name val="Cambria"/>
        <family val="1"/>
        <scheme val="none"/>
      </font>
      <alignment horizontal="righ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11"/>
        <color theme="1"/>
        <name val="Cambria"/>
        <family val="1"/>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417196</xdr:colOff>
      <xdr:row>0</xdr:row>
      <xdr:rowOff>83821</xdr:rowOff>
    </xdr:from>
    <xdr:to>
      <xdr:col>1</xdr:col>
      <xdr:colOff>1394460</xdr:colOff>
      <xdr:row>0</xdr:row>
      <xdr:rowOff>514478</xdr:rowOff>
    </xdr:to>
    <xdr:pic>
      <xdr:nvPicPr>
        <xdr:cNvPr id="3" name="Imagen 2">
          <a:extLst>
            <a:ext uri="{FF2B5EF4-FFF2-40B4-BE49-F238E27FC236}">
              <a16:creationId xmlns:a16="http://schemas.microsoft.com/office/drawing/2014/main" id="{1C0B22FD-89B7-9807-C691-A83543CB21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196" y="83821"/>
          <a:ext cx="1983104" cy="430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731521</xdr:colOff>
      <xdr:row>0</xdr:row>
      <xdr:rowOff>60962</xdr:rowOff>
    </xdr:from>
    <xdr:to>
      <xdr:col>2</xdr:col>
      <xdr:colOff>1325880</xdr:colOff>
      <xdr:row>0</xdr:row>
      <xdr:rowOff>521121</xdr:rowOff>
    </xdr:to>
    <xdr:pic>
      <xdr:nvPicPr>
        <xdr:cNvPr id="6" name="Imagen 5">
          <a:extLst>
            <a:ext uri="{FF2B5EF4-FFF2-40B4-BE49-F238E27FC236}">
              <a16:creationId xmlns:a16="http://schemas.microsoft.com/office/drawing/2014/main" id="{BAB81F8D-FDB0-4219-B33F-CDF076A6C9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2101" y="60962"/>
          <a:ext cx="1828799" cy="4601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pe Zapata" refreshedDate="45816.837297569444" createdVersion="8" refreshedVersion="8" minRefreshableVersion="3" recordCount="170" xr:uid="{1F8EB5FF-39B6-4C17-A7AA-F40CF96E502F}">
  <cacheSource type="worksheet">
    <worksheetSource name="Tabla5"/>
  </cacheSource>
  <cacheFields count="25">
    <cacheField name="DOCUMENTO" numFmtId="0">
      <sharedItems containsSemiMixedTypes="0" containsString="0" containsNumber="1" containsInteger="1" minValue="3378476" maxValue="1214747832" count="86">
        <n v="1001812262"/>
        <n v="59834499"/>
        <n v="1037572152"/>
        <n v="1193219755"/>
        <n v="78078872"/>
        <n v="1110570952"/>
        <n v="71690439"/>
        <n v="1047413742"/>
        <n v="1001415647"/>
        <n v="1026132871"/>
        <n v="71175113"/>
        <n v="1035913083"/>
        <n v="71311035"/>
        <n v="1059704792"/>
        <n v="4116903"/>
        <n v="1000751888"/>
        <n v="71216235"/>
        <n v="1005346180"/>
        <n v="1045047014"/>
        <n v="73570530"/>
        <n v="1001416385"/>
        <n v="1128479264"/>
        <n v="1035919597"/>
        <n v="1035918433"/>
        <n v="1065659658"/>
        <n v="17685011"/>
        <n v="3378476"/>
        <n v="1040515524"/>
        <n v="1110516748"/>
        <n v="98553008"/>
        <n v="1036394175"/>
        <n v="1020104155"/>
        <n v="1128479796"/>
        <n v="1015276535"/>
        <n v="71801338"/>
        <n v="1127940223"/>
        <n v="70878043"/>
        <n v="1035912149"/>
        <n v="71365644"/>
        <n v="1193138307"/>
        <n v="1035915507"/>
        <n v="1037607312"/>
        <n v="1001029657"/>
        <n v="1000306801"/>
        <n v="15258043"/>
        <n v="1007330306"/>
        <n v="71742028"/>
        <n v="71273030"/>
        <n v="1013557593"/>
        <n v="1036697118"/>
        <n v="1035919859"/>
        <n v="1147692351"/>
        <n v="1214747832"/>
        <n v="1036967118"/>
        <n v="1000567397"/>
        <n v="1073676872"/>
        <n v="1040741865"/>
        <n v="1020395897"/>
        <n v="1035392207"/>
        <n v="1010079231"/>
        <n v="1035973354"/>
        <n v="1036952208"/>
        <n v="4380403"/>
        <n v="43624356"/>
        <n v="1017137958"/>
        <n v="1035913725"/>
        <n v="1001651966"/>
        <n v="1036252442"/>
        <n v="71748038"/>
        <n v="41942365"/>
        <n v="1015276553"/>
        <n v="8356286"/>
        <n v="71712784"/>
        <n v="8773558"/>
        <n v="1046667722"/>
        <n v="1037590254"/>
        <n v="1035910024"/>
        <n v="1128270325"/>
        <n v="75080238"/>
        <n v="1152442448"/>
        <n v="43990602"/>
        <n v="1032364015"/>
        <n v="71213380"/>
        <n v="1033486519"/>
        <n v="1042467027"/>
        <n v="1020456282"/>
      </sharedItems>
    </cacheField>
    <cacheField name="NOMBRE" numFmtId="0">
      <sharedItems containsBlank="1" count="92">
        <s v="José Julián Betancur Estrada"/>
        <s v="Victoria Arciniegas Arteaga"/>
        <s v="Jorge Andrés Carvajal"/>
        <s v="Valentina Caruso Alian"/>
        <s v="Ivan Dario Babilonia Cordero"/>
        <s v="Andrés Felipe Ortega Rodríguez"/>
        <s v="Jhon Jairo Villamizar Gutierrez"/>
        <s v="Andrés Coneo"/>
        <s v="Wilder Duvan Atehortua Iral"/>
        <s v="Lyda Sorany Montoya Castaño"/>
        <s v="Diego León Vásques Cortés"/>
        <s v="Maria Teresa Ríos Zapata"/>
        <s v="Duverney Oquendo"/>
        <s v="Jorge Eliecer Calderón Reyes"/>
        <s v="Luis Eduardo Perdomo Rojas"/>
        <s v="Juan Camilo Agudelo Muñoz"/>
        <s v="Jorge Andrés Aguilar"/>
        <s v="Diego Uribe Castellanos"/>
        <s v="Juan Carlos Cano Ocampo"/>
        <s v="Jair José Aguilar Mora"/>
        <s v="Duván Arley López Jiménez"/>
        <s v="Luis Carlos Ramos Rangel"/>
        <s v="Sebastián Ossa Londoño"/>
        <s v="Mateo Arango Betancur"/>
        <s v="Roberto Carlos Rodríguez"/>
        <s v="Alfredo Trujillo Cordoba"/>
        <s v="Román José Dario Briñez Boscán"/>
        <s v="Arnol Miguel Montiel Campos"/>
        <s v="Oscar Alveiro Forero Mogollón"/>
        <s v="Gustavo Adolfo Galeano Alvarez"/>
        <s v="Wilson Fernando Ramirez Zuluaga"/>
        <s v="Julián Yafeth Hernandez Montes"/>
        <s v="Juan Guillermo Bedoya"/>
        <s v="Esteban Sánchez Montoya"/>
        <s v="Edwin Yobany Valbuena Monsalve"/>
        <s v="Carlos Eduardo Gonzalez Alvarado"/>
        <s v="Luis Octavio Acevedo"/>
        <s v="Ferney Hernando Hernandez B."/>
        <s v="Hernan Dario Miranda Ramírez"/>
        <s v="Cristian Carvajal Rios"/>
        <s v="Pedro Alejandro Ruiz Orrego"/>
        <s v="Fraiman Posada"/>
        <s v="Jorge David Robledo Ibarguen"/>
        <s v="Santiago Pacheco Mosquera"/>
        <s v="Joaquin Albeiro Contreras Alvarez"/>
        <s v="Juan Pablo Orozco Yepes"/>
        <s v="Juan Alejandro Atehortua Gañan"/>
        <s v="Esteban Castaño Salazar"/>
        <s v="Jesus Alberto Zapata Rueda"/>
        <s v="Darwin Acevedo Alzate"/>
        <s v="Juliana Acevedo Carvajal"/>
        <s v="Gilder Andres Guzman Palomeque"/>
        <s v="Jeison Fernando Salazar Castañeda"/>
        <s v="Alejandro Mazo"/>
        <s v="Miguel Angel Ocampo Isaza"/>
        <s v="Johan Esteban Florez Yepes"/>
        <s v="Robert Smit Correa Conde"/>
        <s v="Ever Alexis Duque Laverde"/>
        <s v="Ismael Montoya"/>
        <s v="Miguel Angel Moscoso Muñoz"/>
        <s v="Viviana Maria Londoño Gutierrez"/>
        <s v="Miguel Alexander Dale Leal"/>
        <s v="Norma Lucia Balcazar Posada"/>
        <s v="Jojhan Esneider Mejia Araque"/>
        <s v="Paula Andrea Acevedo Carvajal"/>
        <s v="Valentina Arboleda"/>
        <s v="Samuel Cardona Betancur"/>
        <s v="Nelson Tangarife Zapata"/>
        <s v="Paola Johana Restrepo Rios"/>
        <s v="Juan Fernando Restrepo"/>
        <s v="Hector Leon Zapata Marulanda"/>
        <s v="Jairo Eliecer Camargo Fábregas"/>
        <s v="Marilú Velásquez García"/>
        <s v="Lina Marcela Correa Ruiz"/>
        <s v="Leonela Garcia Rios"/>
        <s v="Sandra Milena Echeverri Garcia"/>
        <s v="Carlos Alberto Cardona Mira"/>
        <s v="Luisa Fernanda Carmona Ortiz"/>
        <s v="Pilar Cardona Gil"/>
        <s v="Chritian Rozo García"/>
        <s v="Juan Carlos Arango Gutierrez"/>
        <s v="Juan Esteban Cano Valencia"/>
        <s v="Alexander Romaña"/>
        <s v="Jenifer Mesa Castaño"/>
        <s v="Miguel Angel Muñoz" u="1"/>
        <s v="Andres Felipe Ortega Rodriguez" u="1"/>
        <s v="Jose Julian Betancur Estrada" u="1"/>
        <m u="1"/>
        <s v="_x0009_Jeison Fernando Salazar Castañeda" u="1"/>
        <s v="Esteban Sanchez Montoya" u="1"/>
        <s v=" Jesus Alberto Zapata Rueda" u="1"/>
        <s v="Juan Camilo Aguelo" u="1"/>
      </sharedItems>
    </cacheField>
    <cacheField name="RADICADO" numFmtId="0">
      <sharedItems containsSemiMixedTypes="0" containsString="0" containsNumber="1" containsInteger="1" minValue="501" maxValue="9478"/>
    </cacheField>
    <cacheField name="PROCESO" numFmtId="0">
      <sharedItems/>
    </cacheField>
    <cacheField name="ESTADO" numFmtId="0">
      <sharedItems/>
    </cacheField>
    <cacheField name="VALOR INVERSIÓN" numFmtId="166">
      <sharedItems containsString="0" containsBlank="1" containsNumber="1" containsInteger="1" minValue="0" maxValue="100000000"/>
    </cacheField>
    <cacheField name="ROI (MESES)" numFmtId="0">
      <sharedItems containsBlank="1"/>
    </cacheField>
    <cacheField name="FACILIDAD IMPLEM." numFmtId="0">
      <sharedItems containsBlank="1"/>
    </cacheField>
    <cacheField name="IMPACTO AMBIENTAL (Máx. 25%)" numFmtId="9">
      <sharedItems containsString="0" containsBlank="1" containsNumber="1" minValue="0" maxValue="0.25"/>
    </cacheField>
    <cacheField name="IMPACTO ECONÓMICO (Máx. 25%)" numFmtId="9">
      <sharedItems containsString="0" containsBlank="1" containsNumber="1" minValue="0" maxValue="0.2"/>
    </cacheField>
    <cacheField name="IMPACTO SST (Máx. 20%)" numFmtId="9">
      <sharedItems containsString="0" containsBlank="1" containsNumber="1" minValue="0" maxValue="0.15"/>
    </cacheField>
    <cacheField name="IMPACTO PRODUCTIVIDAD (Máx. 25%)" numFmtId="9">
      <sharedItems containsString="0" containsBlank="1" containsNumber="1" minValue="0" maxValue="0.2"/>
    </cacheField>
    <cacheField name="IMPACTO ORDEN Y ASEO (Máx. 5%)" numFmtId="9">
      <sharedItems containsString="0" containsBlank="1" containsNumber="1" minValue="0" maxValue="0.05"/>
    </cacheField>
    <cacheField name="PUNTOS VALOR INVERSIÓN" numFmtId="0">
      <sharedItems containsMixedTypes="1" containsNumber="1" minValue="440.00000000000011" maxValue="2200"/>
    </cacheField>
    <cacheField name="PUNTOS ROI " numFmtId="0">
      <sharedItems containsMixedTypes="1" containsNumber="1" minValue="550" maxValue="2200"/>
    </cacheField>
    <cacheField name="PUNTOS FACILIDAD IMPLEM. " numFmtId="0">
      <sharedItems containsMixedTypes="1" containsNumber="1" minValue="440.00000000000011" maxValue="2200"/>
    </cacheField>
    <cacheField name="PUNTOS IMPACTO " numFmtId="0">
      <sharedItems containsString="0" containsBlank="1" containsNumber="1" minValue="0" maxValue="6930"/>
    </cacheField>
    <cacheField name="PUNTOS TOTALES" numFmtId="0">
      <sharedItems containsMixedTypes="1" containsNumber="1" minValue="2046" maxValue="13530"/>
    </cacheField>
    <cacheField name="OBSERVACIONES" numFmtId="0">
      <sharedItems containsBlank="1" longText="1"/>
    </cacheField>
    <cacheField name="CLASIFICACIÓN" numFmtId="0">
      <sharedItems containsBlank="1"/>
    </cacheField>
    <cacheField name="PRIORIDAD" numFmtId="0">
      <sharedItems containsBlank="1"/>
    </cacheField>
    <cacheField name="RESUMEN IDEA" numFmtId="0">
      <sharedItems containsBlank="1"/>
    </cacheField>
    <cacheField name="OBSERVACIONES " numFmtId="0">
      <sharedItems containsBlank="1"/>
    </cacheField>
    <cacheField name="RESPONSABLE" numFmtId="0">
      <sharedItems containsBlank="1"/>
    </cacheField>
    <cacheField name="ESTADO IMPLEMENTACIÓ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x v="0"/>
    <n v="501"/>
    <s v="Producción"/>
    <s v="Descartada"/>
    <m/>
    <m/>
    <m/>
    <m/>
    <m/>
    <m/>
    <m/>
    <m/>
    <s v=""/>
    <s v=""/>
    <s v=""/>
    <n v="0"/>
    <s v=""/>
    <m/>
    <m/>
    <m/>
    <m/>
    <m/>
    <m/>
    <m/>
  </r>
  <r>
    <x v="1"/>
    <x v="1"/>
    <n v="502"/>
    <s v="G.Administrativa"/>
    <s v="Descartada"/>
    <m/>
    <m/>
    <m/>
    <m/>
    <m/>
    <m/>
    <m/>
    <m/>
    <s v=""/>
    <s v=""/>
    <s v=""/>
    <n v="0"/>
    <s v=""/>
    <m/>
    <m/>
    <m/>
    <m/>
    <m/>
    <m/>
    <m/>
  </r>
  <r>
    <x v="0"/>
    <x v="0"/>
    <n v="532"/>
    <s v="Producción"/>
    <s v="Descartada"/>
    <m/>
    <m/>
    <m/>
    <m/>
    <m/>
    <m/>
    <m/>
    <m/>
    <s v=""/>
    <s v=""/>
    <s v=""/>
    <n v="0"/>
    <s v=""/>
    <m/>
    <m/>
    <m/>
    <m/>
    <m/>
    <m/>
    <m/>
  </r>
  <r>
    <x v="2"/>
    <x v="2"/>
    <n v="851"/>
    <s v="Producción"/>
    <s v="Descartada"/>
    <m/>
    <m/>
    <m/>
    <m/>
    <m/>
    <m/>
    <m/>
    <m/>
    <s v=""/>
    <s v=""/>
    <s v=""/>
    <n v="0"/>
    <s v=""/>
    <m/>
    <m/>
    <m/>
    <m/>
    <m/>
    <m/>
    <m/>
  </r>
  <r>
    <x v="3"/>
    <x v="3"/>
    <n v="862"/>
    <s v="SIG"/>
    <s v="Descartada"/>
    <m/>
    <m/>
    <m/>
    <m/>
    <m/>
    <m/>
    <m/>
    <m/>
    <s v=""/>
    <s v=""/>
    <s v=""/>
    <n v="0"/>
    <s v=""/>
    <m/>
    <m/>
    <m/>
    <m/>
    <m/>
    <m/>
    <m/>
  </r>
  <r>
    <x v="4"/>
    <x v="4"/>
    <n v="894"/>
    <s v="Producción"/>
    <s v="Calificada"/>
    <n v="5000000"/>
    <s v="N/A"/>
    <s v="C"/>
    <n v="0"/>
    <n v="0.01"/>
    <n v="0"/>
    <n v="0.02"/>
    <n v="0"/>
    <n v="2200"/>
    <s v="0"/>
    <n v="440.00000000000011"/>
    <n v="461.99999999999989"/>
    <n v="3102"/>
    <m/>
    <s v="Técnica G2"/>
    <s v="Baja"/>
    <s v="Cambiar grapas de montaje por sistema fijo"/>
    <s v="Pendiente pruebas"/>
    <m/>
    <m/>
  </r>
  <r>
    <x v="4"/>
    <x v="4"/>
    <n v="895"/>
    <s v="Producción"/>
    <s v="Descartada"/>
    <m/>
    <m/>
    <m/>
    <m/>
    <m/>
    <m/>
    <m/>
    <m/>
    <s v=""/>
    <s v=""/>
    <s v=""/>
    <n v="0"/>
    <s v=""/>
    <m/>
    <m/>
    <m/>
    <m/>
    <m/>
    <m/>
    <m/>
  </r>
  <r>
    <x v="5"/>
    <x v="5"/>
    <n v="949"/>
    <s v="Producción"/>
    <s v="Descartada"/>
    <m/>
    <m/>
    <m/>
    <m/>
    <m/>
    <m/>
    <m/>
    <m/>
    <s v=""/>
    <s v=""/>
    <s v=""/>
    <n v="0"/>
    <s v=""/>
    <m/>
    <m/>
    <m/>
    <m/>
    <m/>
    <m/>
    <m/>
  </r>
  <r>
    <x v="6"/>
    <x v="6"/>
    <n v="963"/>
    <s v="Mantenimiento"/>
    <s v="Calificada"/>
    <n v="1000000"/>
    <s v="N/A"/>
    <s v="A"/>
    <n v="0"/>
    <n v="2.5000000000000001E-2"/>
    <n v="0"/>
    <n v="0"/>
    <n v="0"/>
    <n v="2200"/>
    <s v="0"/>
    <n v="2200"/>
    <n v="384.99999999999994"/>
    <n v="4785"/>
    <m/>
    <s v="Técnica G2"/>
    <s v="Baja"/>
    <s v="Gancho de sostenimiento de botonera de diferencial de estación B en flama"/>
    <s v="Ya se está implementando."/>
    <m/>
    <m/>
  </r>
  <r>
    <x v="6"/>
    <x v="6"/>
    <n v="964"/>
    <s v="Mantenimiento"/>
    <s v="Calificada"/>
    <n v="1000000"/>
    <s v="N/A"/>
    <s v="B"/>
    <n v="0"/>
    <n v="0.05"/>
    <n v="0.12"/>
    <n v="0"/>
    <n v="0"/>
    <n v="2200"/>
    <s v="0"/>
    <n v="1100"/>
    <n v="2617.9999999999995"/>
    <n v="5918"/>
    <m/>
    <s v="Técnica G1"/>
    <s v="Baja"/>
    <s v="Cambio de puerto de carga chisperos"/>
    <s v="Al momento se tiene usa solucion temporal mientras se implementa el proceso HQ en todas las maquinas, Don Gustavo Ossa profundizara con Don Jhon Villamizar sobre el proceso del chispero"/>
    <m/>
    <m/>
  </r>
  <r>
    <x v="7"/>
    <x v="7"/>
    <n v="972"/>
    <s v="Mantenimiento"/>
    <s v="Calificada"/>
    <n v="10000000"/>
    <s v="&gt;6"/>
    <s v="C"/>
    <n v="0"/>
    <n v="0.05"/>
    <n v="0"/>
    <n v="0"/>
    <n v="0"/>
    <n v="2200"/>
    <n v="550"/>
    <n v="440.00000000000011"/>
    <n v="769.99999999999989"/>
    <n v="3960"/>
    <m/>
    <s v="Técnica G2"/>
    <s v="No Viable"/>
    <s v="Control inalambrico para diferenciales"/>
    <s v="Tiende a desaparecer con proyecto HQ"/>
    <m/>
    <m/>
  </r>
  <r>
    <x v="5"/>
    <x v="5"/>
    <n v="977"/>
    <s v="Producción"/>
    <s v="Descartada"/>
    <m/>
    <m/>
    <m/>
    <m/>
    <m/>
    <m/>
    <m/>
    <m/>
    <s v=""/>
    <s v=""/>
    <s v=""/>
    <n v="0"/>
    <s v=""/>
    <m/>
    <m/>
    <m/>
    <m/>
    <m/>
    <m/>
    <m/>
  </r>
  <r>
    <x v="0"/>
    <x v="0"/>
    <n v="4866"/>
    <s v="Producción"/>
    <s v="Descartada"/>
    <m/>
    <m/>
    <m/>
    <m/>
    <m/>
    <m/>
    <m/>
    <m/>
    <s v=""/>
    <s v=""/>
    <s v=""/>
    <n v="0"/>
    <s v=""/>
    <s v="24/07/2024 Descartada. Es algo implementado y que se encuentra en proceso. 27/08/2024 03:46 pm Se habló con colaborador explicandole los motivos por los que no se tuvo en cuenta su idea, se contó con apoyo de Cristian Alzate "/>
    <m/>
    <m/>
    <m/>
    <m/>
    <m/>
    <m/>
  </r>
  <r>
    <x v="8"/>
    <x v="8"/>
    <n v="7424"/>
    <s v="Producción"/>
    <s v="Calificada"/>
    <n v="3000000"/>
    <s v="&gt;6"/>
    <s v="A"/>
    <n v="0"/>
    <n v="0"/>
    <n v="0.12"/>
    <n v="0"/>
    <n v="0.02"/>
    <n v="2200"/>
    <n v="550"/>
    <n v="2200"/>
    <n v="2155.9999999999995"/>
    <n v="7106"/>
    <m/>
    <s v="Técnica G1"/>
    <s v="Alta"/>
    <s v="Lampara LED en forma de ARO "/>
    <s v="Se va a validar luz tipo minero, hablar con SST"/>
    <s v="Marcela Rios"/>
    <m/>
  </r>
  <r>
    <x v="9"/>
    <x v="9"/>
    <n v="8060"/>
    <s v="Comercial"/>
    <s v="Calificada"/>
    <n v="5000000"/>
    <s v="&gt;6"/>
    <s v="B"/>
    <n v="0"/>
    <n v="0.04"/>
    <n v="0"/>
    <n v="0"/>
    <n v="0"/>
    <n v="2200"/>
    <n v="550"/>
    <n v="1100"/>
    <n v="615.99999999999989"/>
    <n v="4466"/>
    <s v="Reactivar bebedero caballo"/>
    <s v="Comercial"/>
    <s v="Alta"/>
    <s v="Reactivar bebedero para caballo"/>
    <s v="Revisar flotadores para relanzamiento de producto"/>
    <s v="JuanDavid Rojas"/>
    <m/>
  </r>
  <r>
    <x v="10"/>
    <x v="10"/>
    <n v="4951"/>
    <s v="Producción"/>
    <s v="Calificada"/>
    <n v="500000"/>
    <s v="&lt;=3"/>
    <s v="A"/>
    <n v="0"/>
    <n v="0"/>
    <n v="0.08"/>
    <n v="0"/>
    <n v="0"/>
    <n v="2200"/>
    <n v="2200"/>
    <n v="2200"/>
    <n v="1231.9999999999998"/>
    <n v="7832"/>
    <s v="24/07/2024 Puntuada"/>
    <s v="Técnica G1"/>
    <s v="Alta"/>
    <s v="Caja para evitar desconexión de herramientas "/>
    <s v="Realizar un diseño y entregarselo al personal de ensamble/soldadura para que realicen las demas, hacer un inventario de cuantas se requieren (Diego Vasquez)"/>
    <s v="Juan David Rojas - Gustavo Ossa"/>
    <s v="En proceso"/>
  </r>
  <r>
    <x v="11"/>
    <x v="11"/>
    <n v="5469"/>
    <s v="Producción"/>
    <s v="Calificada"/>
    <n v="1000000"/>
    <s v="N/A"/>
    <s v="A"/>
    <n v="0"/>
    <n v="0"/>
    <n v="0.03"/>
    <n v="0"/>
    <n v="0"/>
    <n v="2200"/>
    <s v="0"/>
    <n v="2200"/>
    <n v="461.99999999999994"/>
    <n v="4862"/>
    <s v="31/07/2024 Puntuada"/>
    <s v="Técnica G2"/>
    <s v="No Viable"/>
    <s v="Interruptor individual para los tomas de las herramientas."/>
    <s v="No es justificable la implememtación."/>
    <m/>
    <m/>
  </r>
  <r>
    <x v="5"/>
    <x v="5"/>
    <n v="5470"/>
    <s v="Producción"/>
    <s v="Calificada"/>
    <n v="4000000"/>
    <s v="N/A"/>
    <s v="A"/>
    <n v="0"/>
    <n v="0"/>
    <n v="7.0000000000000007E-2"/>
    <n v="0"/>
    <n v="0"/>
    <n v="2200"/>
    <s v="0"/>
    <n v="2200"/>
    <n v="1078"/>
    <n v="5478"/>
    <s v="31/07/2024 Puntuada"/>
    <s v="Comercial"/>
    <s v="Media"/>
    <s v="Rampa en caseta de control de ingreso"/>
    <s v="Revisar con Jhon Jairo Henao para mejorar la entrada por la caseta de control aprovechando la pavimentación"/>
    <m/>
    <m/>
  </r>
  <r>
    <x v="12"/>
    <x v="12"/>
    <n v="7546"/>
    <s v="Producción"/>
    <s v="Calificada"/>
    <n v="10000000"/>
    <s v="&gt;6"/>
    <s v="B"/>
    <n v="0"/>
    <n v="0.1"/>
    <n v="7.0000000000000007E-2"/>
    <n v="0.1"/>
    <n v="0.02"/>
    <n v="2200"/>
    <n v="550"/>
    <n v="1100"/>
    <n v="4466"/>
    <n v="8316"/>
    <m/>
    <s v="Técnica G1"/>
    <s v="Alta"/>
    <s v="Aislante para moldes de casillas"/>
    <s v="Liderar Juan David Rojas y comercial, con el apoyo del proceso técnico."/>
    <s v="Juan David Rojas - Cristian Cardona"/>
    <m/>
  </r>
  <r>
    <x v="13"/>
    <x v="13"/>
    <n v="5918"/>
    <s v="G.Técnica"/>
    <s v="Calificada"/>
    <n v="1500000"/>
    <s v="&gt;3&lt;=6"/>
    <s v="A"/>
    <n v="0.03"/>
    <n v="0.09"/>
    <n v="0"/>
    <n v="0.03"/>
    <n v="0"/>
    <n v="2200"/>
    <n v="1650.0000000000002"/>
    <n v="2200"/>
    <n v="2310"/>
    <n v="8360"/>
    <s v="14/08/2024 Puntuada"/>
    <s v="Técnica G1"/>
    <s v="Media"/>
    <s v="Filtros para las flautas"/>
    <s v="Hacer un rollo de malla que sirva de filtro dentro de la tuberia, para que la limalla no entre al racor"/>
    <m/>
    <m/>
  </r>
  <r>
    <x v="14"/>
    <x v="14"/>
    <n v="5919"/>
    <s v="Producción"/>
    <s v="Descartada"/>
    <m/>
    <m/>
    <m/>
    <m/>
    <m/>
    <m/>
    <m/>
    <m/>
    <s v=""/>
    <s v=""/>
    <s v=""/>
    <n v="0"/>
    <s v=""/>
    <s v="14/08/2024 Descartada. 20/08/2024 09:20am Se habló con colaborador, se invitó a replantear ambas ideas, se contó con apoyo de Cristian Alzate "/>
    <m/>
    <m/>
    <m/>
    <m/>
    <m/>
    <m/>
  </r>
  <r>
    <x v="15"/>
    <x v="15"/>
    <n v="5983"/>
    <s v="TI"/>
    <s v="Calificada"/>
    <n v="6000000"/>
    <s v="&gt;6"/>
    <s v="B"/>
    <n v="0"/>
    <n v="0.14000000000000001"/>
    <n v="0"/>
    <n v="0.06"/>
    <n v="0"/>
    <n v="2200"/>
    <n v="550"/>
    <n v="1100"/>
    <n v="3080"/>
    <n v="6930"/>
    <s v="21/08/2024 Pendiente evaluar costos de reposición de equipos con TI"/>
    <s v="Técnica G1"/>
    <m/>
    <s v="Sistema Android para lectura de codigos en estampación"/>
    <m/>
    <m/>
    <m/>
  </r>
  <r>
    <x v="16"/>
    <x v="16"/>
    <n v="5984"/>
    <s v="Producción"/>
    <s v="Descartada"/>
    <m/>
    <m/>
    <m/>
    <m/>
    <m/>
    <m/>
    <m/>
    <m/>
    <s v=""/>
    <s v=""/>
    <s v=""/>
    <n v="0"/>
    <s v=""/>
    <s v="21/08/2024 Debe ampliar el concepto y validarse con SST, realizar pruebas."/>
    <m/>
    <m/>
    <m/>
    <m/>
    <m/>
    <m/>
  </r>
  <r>
    <x v="17"/>
    <x v="17"/>
    <n v="6026"/>
    <s v="G.Técnica"/>
    <s v="Calificada"/>
    <n v="1000000"/>
    <s v="&lt;=3"/>
    <s v="A"/>
    <n v="0.16"/>
    <n v="0.17"/>
    <n v="0"/>
    <n v="7.0000000000000007E-2"/>
    <n v="0.03"/>
    <n v="2200"/>
    <n v="2200"/>
    <n v="2200"/>
    <n v="6622"/>
    <n v="13222"/>
    <s v="21/08/2024 Puntuada. 24/02/2025 R. Jhon R"/>
    <s v="Técnica G1"/>
    <s v="Baja"/>
    <s v="Limpieza profunda de flautas y toberas"/>
    <s v="Pendiente, no aplica realizar en la parada autonoma, sino en el plan de mantenimiento para realizarse por parte del operario y el MT."/>
    <m/>
    <m/>
  </r>
  <r>
    <x v="18"/>
    <x v="18"/>
    <n v="6057"/>
    <s v="Producción"/>
    <s v="Descartada"/>
    <m/>
    <m/>
    <m/>
    <m/>
    <m/>
    <m/>
    <m/>
    <m/>
    <s v=""/>
    <s v=""/>
    <s v=""/>
    <n v="0"/>
    <s v=""/>
    <s v="03/09/2024 Descartada. 21/08/2024 Debe ampliar concepto de la idea. 28/08/2024 10:50am Se habló con colaborador, contando con acompañamiento de Crsitian Alzate. El colaborador solicita le concedan un espacio ya que tiene una presentación construída en power point para presentarla. 28/08/2024 Comité aprueba darle un espacio de 15 min en el proximo encuentro del 03/09/2024. 03/09/2024 Luego de sustentación comité considera idea como viable en el ambito de personas naturales, por lo cual no se puntuó, se decide que desde TH se revise la posibilidad de realizar un complemento enfocado en su experiencia y darle algún tipo de reconocimiento."/>
    <m/>
    <m/>
    <m/>
    <m/>
    <m/>
    <m/>
  </r>
  <r>
    <x v="19"/>
    <x v="19"/>
    <n v="6071"/>
    <s v="Producción"/>
    <s v="Descartada"/>
    <m/>
    <m/>
    <m/>
    <m/>
    <m/>
    <m/>
    <m/>
    <m/>
    <s v=""/>
    <s v=""/>
    <s v=""/>
    <n v="0"/>
    <s v=""/>
    <s v="21/08/2024 Descartada. Técnicamente un extractor no retira calor por radiación. Pendiente hablar con operario."/>
    <m/>
    <m/>
    <m/>
    <m/>
    <m/>
    <m/>
  </r>
  <r>
    <x v="20"/>
    <x v="20"/>
    <n v="6223"/>
    <s v="T.Humano"/>
    <s v="Descartada"/>
    <m/>
    <m/>
    <m/>
    <m/>
    <m/>
    <m/>
    <m/>
    <m/>
    <s v=""/>
    <s v=""/>
    <s v=""/>
    <n v="0"/>
    <s v=""/>
    <s v="28/08/2024 Se debe revisar PNC de máquinas 8 y 17 con Sebastián Gallego para validar la necesidad y viabilidad de esta idea."/>
    <m/>
    <m/>
    <m/>
    <m/>
    <m/>
    <m/>
  </r>
  <r>
    <x v="21"/>
    <x v="21"/>
    <n v="6226"/>
    <s v="G.Técnica"/>
    <s v="Descartada"/>
    <m/>
    <m/>
    <m/>
    <m/>
    <m/>
    <m/>
    <m/>
    <m/>
    <s v=""/>
    <s v=""/>
    <s v=""/>
    <n v="0"/>
    <s v=""/>
    <s v="28/08/2024 Descartada. La implementación de las OT aún se encuentra en proceso de ajustes y son temas que se están revisando. "/>
    <m/>
    <m/>
    <m/>
    <m/>
    <m/>
    <m/>
  </r>
  <r>
    <x v="22"/>
    <x v="22"/>
    <n v="6240"/>
    <s v="Producción"/>
    <s v="Calificada"/>
    <n v="100000"/>
    <s v="&lt;=3"/>
    <s v="A"/>
    <n v="0.1"/>
    <n v="7.0000000000000007E-2"/>
    <n v="0.05"/>
    <n v="0.2"/>
    <n v="0.03"/>
    <n v="2200"/>
    <n v="2200"/>
    <n v="2200"/>
    <n v="6930"/>
    <n v="13530"/>
    <s v="28/08/2024 Se deben realizar pruebas, seguimiento y validar. componentes químicos. 24/02/2025 Se continuarán buscando alternativas. R. Jhon R."/>
    <s v="Técnica G1"/>
    <s v="Media"/>
    <s v="Soldadura fria o pegamento epóxico para los poros de los moldes"/>
    <s v="Don John solicitara a sebastian continuar con los ensayos de este o un homologo para validar eficiencia "/>
    <m/>
    <m/>
  </r>
  <r>
    <x v="21"/>
    <x v="21"/>
    <n v="6252"/>
    <s v="G.Técnica"/>
    <s v="Calificada"/>
    <n v="1000000"/>
    <s v="N/A"/>
    <s v="A"/>
    <n v="0.04"/>
    <n v="0"/>
    <n v="0"/>
    <n v="0"/>
    <n v="0.01"/>
    <n v="2200"/>
    <s v="0"/>
    <n v="2200"/>
    <n v="769.99999999999989"/>
    <n v="5170"/>
    <s v="28/08/2024 Puntuada"/>
    <s v="Técnica G2"/>
    <s v="No Viable"/>
    <s v="Recipientes para material contaminado por planta"/>
    <s v="No se soluciona nigún problema con la propuesta"/>
    <m/>
    <m/>
  </r>
  <r>
    <x v="23"/>
    <x v="23"/>
    <n v="6254"/>
    <s v="Producción"/>
    <s v="Descartada"/>
    <m/>
    <m/>
    <m/>
    <m/>
    <m/>
    <m/>
    <m/>
    <m/>
    <s v=""/>
    <s v=""/>
    <s v=""/>
    <n v="0"/>
    <s v=""/>
    <s v="28/08/2024 Se debe validar funcionalidad y eficacia en el proceso. 9/12/2024 Luego de realizar las pruebas, SST la descarta porque se genera material particulado lo cual afectarías las zonas aledañas y se debería hacer un encerramiento, lo cual conlleva mas inversión. "/>
    <m/>
    <m/>
    <m/>
    <m/>
    <m/>
    <m/>
  </r>
  <r>
    <x v="24"/>
    <x v="24"/>
    <n v="6255"/>
    <s v="Producción"/>
    <s v="Calificada"/>
    <n v="1000000"/>
    <s v="&gt;6"/>
    <s v="B"/>
    <n v="0"/>
    <n v="0.04"/>
    <n v="0.01"/>
    <n v="0.02"/>
    <n v="0"/>
    <n v="2200"/>
    <n v="550"/>
    <n v="1100"/>
    <n v="1077.9999999999998"/>
    <n v="4928"/>
    <s v="28/08/2024 Puntuada"/>
    <s v="Técnica G2"/>
    <s v="No Viable"/>
    <s v="Pines de patineta para regular ajuste de flautas"/>
    <s v="No es optimo para el proceso."/>
    <m/>
    <m/>
  </r>
  <r>
    <x v="25"/>
    <x v="25"/>
    <n v="6262"/>
    <s v="G.Técnica"/>
    <s v="Descartada"/>
    <m/>
    <m/>
    <m/>
    <m/>
    <m/>
    <m/>
    <m/>
    <m/>
    <s v=""/>
    <s v=""/>
    <s v=""/>
    <n v="0"/>
    <s v=""/>
    <s v="03/09/2024 Validar con Jhony Tuberquia"/>
    <m/>
    <m/>
    <m/>
    <m/>
    <m/>
    <m/>
  </r>
  <r>
    <x v="25"/>
    <x v="25"/>
    <n v="6263"/>
    <s v="G.Técnica"/>
    <s v="Calificada"/>
    <n v="10000000"/>
    <s v="&gt;6"/>
    <s v="A"/>
    <n v="0.1"/>
    <n v="0.05"/>
    <n v="0.02"/>
    <n v="0.1"/>
    <n v="0.05"/>
    <n v="2200"/>
    <n v="550"/>
    <n v="2200"/>
    <n v="4927.9999999999991"/>
    <n v="9878"/>
    <s v="03/09/2024 Validar con Jhony Tuberquia"/>
    <s v="Técnica G1"/>
    <s v="No Viable"/>
    <s v="Mamparas entre cajas de materia prima"/>
    <s v="Definir con mantenimiento fabricación"/>
    <m/>
    <m/>
  </r>
  <r>
    <x v="18"/>
    <x v="18"/>
    <n v="6376"/>
    <s v="Producción"/>
    <s v="Descartada"/>
    <m/>
    <m/>
    <m/>
    <m/>
    <m/>
    <m/>
    <m/>
    <m/>
    <s v=""/>
    <s v=""/>
    <s v=""/>
    <n v="0"/>
    <s v=""/>
    <s v="03/09/2024 Descartada. Lo que propone es lo que se hace actualmente desde proceso comercial. "/>
    <m/>
    <m/>
    <m/>
    <m/>
    <m/>
    <m/>
  </r>
  <r>
    <x v="21"/>
    <x v="21"/>
    <n v="6377"/>
    <s v="G.Técnica"/>
    <s v="Descartada"/>
    <m/>
    <m/>
    <m/>
    <m/>
    <m/>
    <m/>
    <m/>
    <m/>
    <s v=""/>
    <s v=""/>
    <s v=""/>
    <n v="0"/>
    <s v=""/>
    <s v="03/09/2024 Descartada. Lo que propone fue una idea surgida e implementada en la zona de respeto."/>
    <m/>
    <m/>
    <m/>
    <m/>
    <m/>
    <m/>
  </r>
  <r>
    <x v="26"/>
    <x v="26"/>
    <n v="6397"/>
    <s v="G.Técnica"/>
    <s v="Descartada"/>
    <m/>
    <m/>
    <m/>
    <m/>
    <m/>
    <m/>
    <m/>
    <m/>
    <s v=""/>
    <s v=""/>
    <s v=""/>
    <n v="0"/>
    <s v=""/>
    <s v="03/09/2024 Pendiente validar necesidad, utilidad y viabilidad con Supervisor materias primas y coordinador de PCC."/>
    <m/>
    <m/>
    <m/>
    <m/>
    <m/>
    <m/>
  </r>
  <r>
    <x v="21"/>
    <x v="21"/>
    <n v="6398"/>
    <s v="G.Técnica"/>
    <s v="Calificada"/>
    <n v="1000000"/>
    <s v="N/A"/>
    <s v="A"/>
    <n v="0"/>
    <n v="0"/>
    <n v="0"/>
    <n v="0"/>
    <n v="0"/>
    <n v="2200"/>
    <s v="0"/>
    <n v="2200"/>
    <n v="0"/>
    <n v="4400"/>
    <s v="03/09/2924 No se alcanzó a evaluar. 10/09/2024 Puntuada"/>
    <s v="Técnica G2"/>
    <s v="No Viable"/>
    <s v="Cajón para herramientas en máquinas flama"/>
    <s v="Ya tienen tablero de sombras."/>
    <m/>
    <m/>
  </r>
  <r>
    <x v="2"/>
    <x v="2"/>
    <n v="8972"/>
    <s v="Producción"/>
    <s v="Calificada"/>
    <n v="5000000"/>
    <s v="&lt;=3"/>
    <s v="A"/>
    <n v="0"/>
    <n v="0.15"/>
    <n v="0"/>
    <n v="0"/>
    <n v="0"/>
    <n v="2200"/>
    <n v="2200"/>
    <n v="2200"/>
    <n v="2310"/>
    <n v="8910"/>
    <m/>
    <s v="Técnica G1"/>
    <s v="Alta"/>
    <s v="Implementar metodología QRQC (Control de calidad de respuesta rápida)"/>
    <s v="Metodologia QRQC, coordinar con Jorge la socializacion de la metodologia a TH, producción, calidad, logistica, mantenimiento para definir si es indicado implementar otra metodologia mas"/>
    <s v="Jorge Carvajal - Gustavo Ossa"/>
    <m/>
  </r>
  <r>
    <x v="27"/>
    <x v="27"/>
    <n v="6454"/>
    <s v="Producción"/>
    <s v="Descartada"/>
    <m/>
    <m/>
    <m/>
    <m/>
    <m/>
    <m/>
    <m/>
    <m/>
    <s v=""/>
    <s v=""/>
    <s v=""/>
    <n v="0"/>
    <s v=""/>
    <s v="10/09/2024 Descartada. "/>
    <m/>
    <m/>
    <m/>
    <m/>
    <m/>
    <m/>
  </r>
  <r>
    <x v="27"/>
    <x v="27"/>
    <n v="6455"/>
    <s v="Producción"/>
    <s v="Descartada"/>
    <m/>
    <m/>
    <m/>
    <m/>
    <m/>
    <m/>
    <m/>
    <m/>
    <s v=""/>
    <s v=""/>
    <s v=""/>
    <n v="0"/>
    <s v=""/>
    <s v="10/09/2024 Descartada. "/>
    <m/>
    <m/>
    <m/>
    <m/>
    <m/>
    <m/>
  </r>
  <r>
    <x v="21"/>
    <x v="21"/>
    <n v="6495"/>
    <s v="G.Técnica"/>
    <s v="Descartada"/>
    <m/>
    <m/>
    <m/>
    <m/>
    <m/>
    <m/>
    <m/>
    <m/>
    <s v=""/>
    <s v=""/>
    <s v=""/>
    <n v="0"/>
    <s v=""/>
    <s v="10/09/2024 Descartada. "/>
    <m/>
    <m/>
    <m/>
    <m/>
    <m/>
    <m/>
  </r>
  <r>
    <x v="28"/>
    <x v="28"/>
    <n v="6631"/>
    <s v="Mantenimiento"/>
    <s v="Calificada"/>
    <n v="60000000"/>
    <s v="&gt;6"/>
    <s v="B"/>
    <n v="0"/>
    <n v="0"/>
    <n v="0"/>
    <n v="0"/>
    <n v="0"/>
    <n v="440.00000000000011"/>
    <n v="550"/>
    <n v="1100"/>
    <n v="0"/>
    <n v="2090"/>
    <s v="18/09/2024 Pendiente que Cristian Cardona valide paros por esta causa, costos de reparación y el costo de implementar la idea, para determinar el impacto económico."/>
    <s v="Técnica G2"/>
    <s v="No Viable"/>
    <s v="Control inalambrico para diferenciales"/>
    <s v="Tiende a desaparecer con proyecto HQ"/>
    <m/>
    <m/>
  </r>
  <r>
    <x v="28"/>
    <x v="28"/>
    <n v="6632"/>
    <s v="Mantenimiento"/>
    <s v="Calificada"/>
    <n v="18000000"/>
    <s v="&gt;6"/>
    <s v="A"/>
    <n v="0"/>
    <n v="0.05"/>
    <n v="0"/>
    <n v="0"/>
    <n v="0"/>
    <n v="1320"/>
    <n v="550"/>
    <n v="2200"/>
    <n v="769.99999999999989"/>
    <n v="4840"/>
    <s v="18/09/2024 Pendiente que Cristian Cardona indague a Oscar sobre los beneficios que expone en la idea."/>
    <s v="Técnica G2"/>
    <s v="Media"/>
    <s v="Sensores inductivos para máquinas de horno"/>
    <s v="Ya se está implementando."/>
    <m/>
    <m/>
  </r>
  <r>
    <x v="29"/>
    <x v="29"/>
    <n v="6633"/>
    <s v="Mantenimiento"/>
    <s v="Descartada"/>
    <m/>
    <m/>
    <m/>
    <m/>
    <m/>
    <m/>
    <m/>
    <m/>
    <s v=""/>
    <s v=""/>
    <s v=""/>
    <n v="0"/>
    <s v=""/>
    <s v="18/09/2024 Descartada."/>
    <m/>
    <m/>
    <m/>
    <m/>
    <m/>
    <m/>
  </r>
  <r>
    <x v="23"/>
    <x v="23"/>
    <n v="6696"/>
    <s v="Producción"/>
    <s v="Descartada"/>
    <m/>
    <m/>
    <m/>
    <m/>
    <m/>
    <m/>
    <m/>
    <m/>
    <s v=""/>
    <s v=""/>
    <s v=""/>
    <n v="0"/>
    <s v=""/>
    <s v="18/09/2024 Descartada. No es viable la implementación del dispositivo en ese espacio de trabajo, afectaría a los procesos adyacentes, se necesitaría un encerramiento de la zona. "/>
    <m/>
    <m/>
    <m/>
    <m/>
    <m/>
    <m/>
  </r>
  <r>
    <x v="27"/>
    <x v="27"/>
    <n v="6729"/>
    <s v="Producción"/>
    <s v="Calificada"/>
    <n v="600000"/>
    <s v="&gt;6"/>
    <s v="A"/>
    <n v="0"/>
    <n v="0"/>
    <n v="0"/>
    <n v="0"/>
    <n v="0"/>
    <n v="2200"/>
    <n v="550"/>
    <n v="2200"/>
    <n v="0"/>
    <n v="4950"/>
    <s v="18/09/2024 Puntuada."/>
    <s v="Técnica G2"/>
    <s v="Baja"/>
    <s v="Base movil para transporte de productos de mayor volumen"/>
    <s v="Pendiente validar disponibilidad mantenimiento."/>
    <m/>
    <m/>
  </r>
  <r>
    <x v="13"/>
    <x v="13"/>
    <n v="5917"/>
    <s v="G.Técnica"/>
    <s v="Calificada"/>
    <n v="1000000"/>
    <s v="&lt;=3"/>
    <s v="C"/>
    <n v="0.05"/>
    <n v="0.09"/>
    <n v="0"/>
    <n v="0.06"/>
    <n v="0"/>
    <n v="2200"/>
    <n v="2200"/>
    <n v="440.00000000000011"/>
    <n v="3080"/>
    <n v="7920"/>
    <s v="14/08/2024 Puntuada"/>
    <s v="Técnica G1"/>
    <s v="Alta"/>
    <s v="Bitácora de materias primas para flama"/>
    <s v="Bitacora de materias primas, reunión producción tecnica y calidad para diseñar la tabla."/>
    <s v="Jhon Rendón - Sebastián Ossa - Jhony Tuberquia"/>
    <m/>
  </r>
  <r>
    <x v="30"/>
    <x v="30"/>
    <n v="6770"/>
    <s v="Producción"/>
    <s v="Descartada"/>
    <m/>
    <m/>
    <m/>
    <m/>
    <m/>
    <m/>
    <m/>
    <m/>
    <s v=""/>
    <s v=""/>
    <s v=""/>
    <n v="0"/>
    <s v=""/>
    <s v="18/09/2024 Pendiente que Cristian Cardona valide con el operario la necesidad y funcionalidad de la idea propuesta."/>
    <m/>
    <m/>
    <m/>
    <m/>
    <m/>
    <m/>
  </r>
  <r>
    <x v="14"/>
    <x v="14"/>
    <n v="6826"/>
    <s v="Producción"/>
    <s v="Descartada"/>
    <m/>
    <m/>
    <m/>
    <m/>
    <m/>
    <m/>
    <m/>
    <m/>
    <s v=""/>
    <s v=""/>
    <s v=""/>
    <n v="0"/>
    <s v=""/>
    <s v="24/09/2024 Descartada. La idea ya había sido presentada por otro colaborador con radicado #6769"/>
    <m/>
    <m/>
    <m/>
    <m/>
    <m/>
    <m/>
  </r>
  <r>
    <x v="21"/>
    <x v="21"/>
    <n v="7323"/>
    <s v="G.Técnica"/>
    <s v="Calificada"/>
    <n v="1000000"/>
    <s v="&lt;=3"/>
    <s v="A"/>
    <n v="0"/>
    <n v="0.08"/>
    <n v="0"/>
    <n v="0"/>
    <n v="0"/>
    <n v="2200"/>
    <n v="2200"/>
    <n v="2200"/>
    <n v="1231.9999999999998"/>
    <n v="7832"/>
    <m/>
    <s v="Técnica G1"/>
    <s v="Alta"/>
    <s v="Colocar una tobera auxiliar"/>
    <s v="Que produccion determine si es en todos los tapones o en algunas referencias y cuando este Id, hablar con Luis Ramos (JJ Rendon) , validar si en la prueba estaba el molde sucio o limpio."/>
    <s v="Jhon Rendón - Sebastián Ossa"/>
    <m/>
  </r>
  <r>
    <x v="21"/>
    <x v="21"/>
    <n v="7324"/>
    <s v="G.Técnica"/>
    <s v="Descartada"/>
    <m/>
    <m/>
    <m/>
    <m/>
    <m/>
    <m/>
    <m/>
    <m/>
    <s v=""/>
    <s v=""/>
    <s v=""/>
    <n v="0"/>
    <s v=""/>
    <m/>
    <m/>
    <m/>
    <m/>
    <m/>
    <m/>
    <m/>
  </r>
  <r>
    <x v="31"/>
    <x v="31"/>
    <n v="7325"/>
    <s v="Producción"/>
    <s v="Calificada"/>
    <n v="50000000"/>
    <s v="&gt;6"/>
    <s v="B"/>
    <n v="0"/>
    <n v="0.03"/>
    <n v="0"/>
    <n v="0"/>
    <n v="0.03"/>
    <n v="440.00000000000011"/>
    <n v="550"/>
    <n v="1100"/>
    <n v="923.99999999999989"/>
    <n v="3014"/>
    <m/>
    <s v="Técnica G2"/>
    <s v="No Viable"/>
    <s v="Almacenar repigmentado en silo"/>
    <s v="No presta adecuada función por el espacio y las condicones de cargue y descargue"/>
    <m/>
    <m/>
  </r>
  <r>
    <x v="32"/>
    <x v="32"/>
    <n v="7326"/>
    <s v="Producción"/>
    <s v="Calificada"/>
    <n v="50000000"/>
    <s v="&gt;6"/>
    <s v="B"/>
    <n v="0"/>
    <n v="0"/>
    <n v="0.15"/>
    <n v="0"/>
    <n v="0"/>
    <n v="440.00000000000011"/>
    <n v="550"/>
    <n v="1100"/>
    <n v="2310"/>
    <n v="4400"/>
    <m/>
    <s v="Técnica G2"/>
    <s v="No Viable"/>
    <s v="Sensores de movimiento en máquinas de flama"/>
    <s v="Proyecto HQ mitiga esos riesgos, adicional a las máquinas se les instalaron guardas."/>
    <m/>
    <m/>
  </r>
  <r>
    <x v="24"/>
    <x v="24"/>
    <n v="6399"/>
    <s v="Producción"/>
    <s v="Calificada"/>
    <n v="1000000"/>
    <s v="&lt;=3"/>
    <s v="B"/>
    <n v="0.14000000000000001"/>
    <n v="0.1"/>
    <n v="0"/>
    <n v="0"/>
    <n v="0"/>
    <n v="2200"/>
    <n v="2200"/>
    <n v="1100"/>
    <n v="3696"/>
    <n v="9196"/>
    <s v="03/09/2924 No se alcanzó a evaluar. 10/09/2024 Puntuada"/>
    <s v="Técnica G1"/>
    <s v="Alta"/>
    <s v="Reutilización de estopa"/>
    <s v="Ya se implemento el ecouso, pendiente resultado de analisis de reduccion de costos"/>
    <s v="Gustavo Ossa - Julián Giraldo"/>
    <s v="En proceso"/>
  </r>
  <r>
    <x v="8"/>
    <x v="8"/>
    <n v="7426"/>
    <s v="Producción"/>
    <s v="Descartada"/>
    <m/>
    <m/>
    <m/>
    <m/>
    <m/>
    <m/>
    <m/>
    <m/>
    <s v=""/>
    <s v=""/>
    <s v=""/>
    <n v="0"/>
    <s v=""/>
    <s v="Ya se habia presentado por otro colaborador"/>
    <m/>
    <m/>
    <m/>
    <m/>
    <m/>
    <m/>
  </r>
  <r>
    <x v="8"/>
    <x v="8"/>
    <n v="7427"/>
    <s v="Producción"/>
    <s v="Descartada"/>
    <m/>
    <m/>
    <m/>
    <m/>
    <m/>
    <m/>
    <m/>
    <m/>
    <s v=""/>
    <s v=""/>
    <s v=""/>
    <n v="0"/>
    <s v=""/>
    <m/>
    <m/>
    <m/>
    <m/>
    <m/>
    <m/>
    <m/>
  </r>
  <r>
    <x v="33"/>
    <x v="33"/>
    <n v="7428"/>
    <s v="TI"/>
    <s v="Calificada"/>
    <n v="6000000"/>
    <s v="&gt;6"/>
    <s v="A"/>
    <n v="0"/>
    <n v="0"/>
    <n v="0"/>
    <n v="0"/>
    <n v="0"/>
    <n v="2200"/>
    <n v="550"/>
    <n v="2200"/>
    <n v="0"/>
    <n v="4950"/>
    <m/>
    <s v="Comercial"/>
    <s v="No Viable"/>
    <s v="Impresora 3D"/>
    <m/>
    <m/>
    <m/>
  </r>
  <r>
    <x v="33"/>
    <x v="33"/>
    <n v="7429"/>
    <s v="TI"/>
    <s v="Descartada"/>
    <m/>
    <m/>
    <m/>
    <m/>
    <m/>
    <m/>
    <m/>
    <m/>
    <s v=""/>
    <s v=""/>
    <s v=""/>
    <n v="0"/>
    <s v=""/>
    <m/>
    <m/>
    <m/>
    <m/>
    <m/>
    <m/>
    <m/>
  </r>
  <r>
    <x v="24"/>
    <x v="24"/>
    <n v="7430"/>
    <s v="Producción"/>
    <s v="Descartada"/>
    <m/>
    <m/>
    <m/>
    <m/>
    <m/>
    <m/>
    <m/>
    <m/>
    <s v=""/>
    <s v=""/>
    <s v=""/>
    <n v="0"/>
    <s v=""/>
    <m/>
    <m/>
    <m/>
    <m/>
    <m/>
    <m/>
    <m/>
  </r>
  <r>
    <x v="34"/>
    <x v="34"/>
    <n v="7431"/>
    <s v="Producción"/>
    <s v="Calificada"/>
    <n v="100000000"/>
    <s v="&gt;6"/>
    <s v="B"/>
    <n v="0"/>
    <n v="0"/>
    <n v="7.0000000000000007E-2"/>
    <n v="0"/>
    <n v="0.03"/>
    <n v="440.00000000000011"/>
    <n v="550"/>
    <n v="1100"/>
    <n v="1540"/>
    <n v="3630"/>
    <m/>
    <s v="Comercial"/>
    <s v="No Viable"/>
    <s v="Mezanine en zona de materia prima"/>
    <s v="La idea esta en proceso con el objetivo de acondicionar materias primas y moldes para lograr una logistica adecuada con la nueva pulverizadora. Se considera no viable ya que se hará uso de estanterías para ordenar el área"/>
    <m/>
    <m/>
  </r>
  <r>
    <x v="35"/>
    <x v="35"/>
    <n v="7451"/>
    <s v="TI"/>
    <s v="Calificada"/>
    <n v="50000000"/>
    <s v="&gt;6"/>
    <s v="B"/>
    <n v="0.12"/>
    <n v="0.05"/>
    <n v="0"/>
    <n v="0"/>
    <n v="0.02"/>
    <n v="440.00000000000011"/>
    <n v="550"/>
    <n v="1100"/>
    <n v="2925.9999999999995"/>
    <n v="5016"/>
    <m/>
    <s v="Técnica G2"/>
    <s v="No Viable"/>
    <s v="Máquina de marcación laser para productos"/>
    <s v="Desde calidad se está evaluado sello tipo riel con calor, además es muy costoso y su manipulación genera riesgos a los colobaoradores."/>
    <m/>
    <m/>
  </r>
  <r>
    <x v="14"/>
    <x v="14"/>
    <n v="7452"/>
    <s v="Producción"/>
    <s v="Calificada"/>
    <n v="250000"/>
    <s v="&gt;3&lt;=6"/>
    <s v="A"/>
    <n v="0"/>
    <n v="0"/>
    <n v="0"/>
    <n v="0"/>
    <n v="0"/>
    <n v="2200"/>
    <n v="1650.0000000000002"/>
    <n v="2200"/>
    <n v="0"/>
    <n v="6050"/>
    <m/>
    <s v="Técnica G1"/>
    <s v="Baja"/>
    <s v="Cautil para los poros pequeños en soldadura"/>
    <s v="Solicitar a mantenimiento el prestamo de un cautill para que el colaborador Luis Perdomo haga la prueba e informe el resultado, para que identificar la apariencia."/>
    <m/>
    <m/>
  </r>
  <r>
    <x v="36"/>
    <x v="36"/>
    <n v="7453"/>
    <s v="Logística"/>
    <s v="Descartada"/>
    <m/>
    <m/>
    <m/>
    <m/>
    <m/>
    <m/>
    <m/>
    <m/>
    <s v=""/>
    <s v=""/>
    <s v=""/>
    <n v="0"/>
    <s v=""/>
    <s v="Ya se está implementando"/>
    <m/>
    <m/>
    <m/>
    <m/>
    <m/>
    <m/>
  </r>
  <r>
    <x v="37"/>
    <x v="37"/>
    <n v="7454"/>
    <s v="Logística"/>
    <s v="Descartada"/>
    <m/>
    <m/>
    <m/>
    <m/>
    <m/>
    <m/>
    <m/>
    <m/>
    <s v=""/>
    <s v=""/>
    <s v=""/>
    <n v="0"/>
    <s v=""/>
    <m/>
    <m/>
    <m/>
    <m/>
    <m/>
    <m/>
    <m/>
  </r>
  <r>
    <x v="37"/>
    <x v="37"/>
    <n v="7455"/>
    <s v="Logística"/>
    <s v="Descartada"/>
    <m/>
    <m/>
    <m/>
    <m/>
    <m/>
    <m/>
    <m/>
    <m/>
    <s v=""/>
    <s v=""/>
    <s v=""/>
    <n v="0"/>
    <s v=""/>
    <m/>
    <m/>
    <m/>
    <m/>
    <m/>
    <m/>
    <m/>
  </r>
  <r>
    <x v="38"/>
    <x v="38"/>
    <n v="7456"/>
    <s v="Logística"/>
    <s v="Descartada"/>
    <m/>
    <m/>
    <m/>
    <m/>
    <m/>
    <m/>
    <m/>
    <m/>
    <s v=""/>
    <s v=""/>
    <s v=""/>
    <n v="0"/>
    <s v=""/>
    <m/>
    <m/>
    <m/>
    <m/>
    <m/>
    <m/>
    <m/>
  </r>
  <r>
    <x v="38"/>
    <x v="38"/>
    <n v="7457"/>
    <s v="Logística"/>
    <s v="Descartada"/>
    <m/>
    <m/>
    <m/>
    <m/>
    <m/>
    <m/>
    <m/>
    <m/>
    <s v=""/>
    <s v=""/>
    <s v=""/>
    <n v="0"/>
    <s v=""/>
    <m/>
    <m/>
    <m/>
    <m/>
    <m/>
    <m/>
    <m/>
  </r>
  <r>
    <x v="38"/>
    <x v="38"/>
    <n v="7458"/>
    <s v="Logística"/>
    <s v="Descartada"/>
    <m/>
    <m/>
    <m/>
    <m/>
    <m/>
    <m/>
    <m/>
    <m/>
    <s v=""/>
    <s v=""/>
    <s v=""/>
    <n v="0"/>
    <s v=""/>
    <m/>
    <m/>
    <m/>
    <m/>
    <m/>
    <m/>
    <m/>
  </r>
  <r>
    <x v="39"/>
    <x v="39"/>
    <n v="7459"/>
    <s v="Logística"/>
    <s v="Descartada"/>
    <m/>
    <m/>
    <m/>
    <m/>
    <m/>
    <m/>
    <m/>
    <m/>
    <s v=""/>
    <s v=""/>
    <s v=""/>
    <n v="0"/>
    <s v=""/>
    <m/>
    <m/>
    <m/>
    <m/>
    <m/>
    <m/>
    <m/>
  </r>
  <r>
    <x v="40"/>
    <x v="40"/>
    <n v="7460"/>
    <s v="Logística"/>
    <s v="Descartada"/>
    <m/>
    <m/>
    <m/>
    <m/>
    <m/>
    <m/>
    <m/>
    <m/>
    <s v=""/>
    <s v=""/>
    <s v=""/>
    <n v="0"/>
    <s v=""/>
    <s v="Explicarle al colaborador la situación actual procesos"/>
    <m/>
    <m/>
    <m/>
    <m/>
    <m/>
    <m/>
  </r>
  <r>
    <x v="41"/>
    <x v="41"/>
    <n v="7461"/>
    <s v="Producción"/>
    <s v="Descartada"/>
    <m/>
    <m/>
    <m/>
    <m/>
    <m/>
    <m/>
    <m/>
    <m/>
    <s v=""/>
    <s v=""/>
    <s v=""/>
    <n v="0"/>
    <s v=""/>
    <m/>
    <m/>
    <m/>
    <m/>
    <m/>
    <m/>
    <m/>
  </r>
  <r>
    <x v="42"/>
    <x v="42"/>
    <n v="7462"/>
    <s v="Producción"/>
    <s v="Descartada"/>
    <m/>
    <m/>
    <m/>
    <m/>
    <m/>
    <m/>
    <m/>
    <m/>
    <s v=""/>
    <s v=""/>
    <s v=""/>
    <n v="0"/>
    <s v=""/>
    <m/>
    <m/>
    <m/>
    <m/>
    <m/>
    <m/>
    <m/>
  </r>
  <r>
    <x v="34"/>
    <x v="34"/>
    <n v="7521"/>
    <s v="Producción"/>
    <s v="Calificada"/>
    <n v="30000000"/>
    <s v="&gt;6"/>
    <s v="B"/>
    <n v="0"/>
    <n v="0"/>
    <n v="0"/>
    <n v="0"/>
    <n v="0.03"/>
    <n v="440.00000000000011"/>
    <n v="550"/>
    <n v="1100"/>
    <n v="461.99999999999994"/>
    <n v="2552"/>
    <m/>
    <s v="Técnica G2"/>
    <s v="No Viable"/>
    <s v="Reubicación molino en zona reciclaje"/>
    <s v="Altera correcto flujo del proceso y requeriría inversión alta para adecuación"/>
    <m/>
    <m/>
  </r>
  <r>
    <x v="43"/>
    <x v="43"/>
    <n v="7522"/>
    <s v="Producción"/>
    <s v="Descartada"/>
    <m/>
    <m/>
    <m/>
    <m/>
    <m/>
    <m/>
    <m/>
    <m/>
    <s v=""/>
    <s v=""/>
    <s v=""/>
    <n v="0"/>
    <s v=""/>
    <s v="Repetida"/>
    <m/>
    <m/>
    <m/>
    <m/>
    <m/>
    <m/>
  </r>
  <r>
    <x v="43"/>
    <x v="43"/>
    <n v="7523"/>
    <s v="Producción"/>
    <s v="Calificada"/>
    <n v="5000000"/>
    <s v="N/A"/>
    <s v="A"/>
    <n v="0"/>
    <n v="0.05"/>
    <n v="0"/>
    <n v="0"/>
    <n v="0.03"/>
    <n v="2200"/>
    <s v="0"/>
    <n v="2200"/>
    <n v="1231.9999999999998"/>
    <n v="5632"/>
    <m/>
    <s v="Técnica G1"/>
    <s v="No Viable"/>
    <s v="Instalacion de poste separador guia, para evitar el paso del personal no autorizado a la zona de MP "/>
    <s v="Esta pendiente instalar la barrera fisica, ya se ubicó el pc y un letrero de señalización - Se descarta barrera, por circulación de montacarga."/>
    <m/>
    <m/>
  </r>
  <r>
    <x v="43"/>
    <x v="43"/>
    <n v="7524"/>
    <s v="Producción"/>
    <s v="Descartada"/>
    <m/>
    <m/>
    <m/>
    <m/>
    <m/>
    <m/>
    <m/>
    <m/>
    <s v=""/>
    <s v=""/>
    <s v=""/>
    <m/>
    <s v=""/>
    <s v="Repetida"/>
    <m/>
    <m/>
    <m/>
    <m/>
    <m/>
    <m/>
  </r>
  <r>
    <x v="44"/>
    <x v="44"/>
    <n v="7525"/>
    <s v="Producción"/>
    <s v="Descartada"/>
    <m/>
    <m/>
    <m/>
    <m/>
    <m/>
    <m/>
    <m/>
    <m/>
    <s v=""/>
    <s v=""/>
    <s v=""/>
    <n v="0"/>
    <s v=""/>
    <m/>
    <m/>
    <m/>
    <m/>
    <m/>
    <m/>
    <m/>
  </r>
  <r>
    <x v="44"/>
    <x v="44"/>
    <n v="7526"/>
    <s v="Producción"/>
    <s v="Calificada"/>
    <n v="3000000"/>
    <s v="N/A"/>
    <s v="A"/>
    <n v="0"/>
    <n v="0"/>
    <n v="0.09"/>
    <n v="0"/>
    <n v="0.02"/>
    <n v="2200"/>
    <s v="0"/>
    <n v="2200"/>
    <n v="1694"/>
    <n v="6094"/>
    <m/>
    <s v="Técnica G1"/>
    <s v="Media"/>
    <s v="Base para moldes grandes para mejorar el desplazamiento"/>
    <s v="Pedir apoyo a Juan David Rojas que los diseñe y se mandes a hacer por fuera."/>
    <m/>
    <m/>
  </r>
  <r>
    <x v="45"/>
    <x v="45"/>
    <n v="7527"/>
    <s v="Logística"/>
    <s v="Descartada"/>
    <m/>
    <m/>
    <m/>
    <m/>
    <m/>
    <m/>
    <m/>
    <m/>
    <s v=""/>
    <s v=""/>
    <s v=""/>
    <n v="0"/>
    <s v=""/>
    <m/>
    <m/>
    <m/>
    <m/>
    <m/>
    <m/>
    <m/>
  </r>
  <r>
    <x v="45"/>
    <x v="45"/>
    <n v="7528"/>
    <s v="Logística"/>
    <s v="Descartada"/>
    <m/>
    <m/>
    <m/>
    <m/>
    <m/>
    <m/>
    <m/>
    <m/>
    <s v=""/>
    <s v=""/>
    <s v=""/>
    <n v="0"/>
    <s v=""/>
    <m/>
    <m/>
    <m/>
    <m/>
    <m/>
    <m/>
    <m/>
  </r>
  <r>
    <x v="46"/>
    <x v="46"/>
    <n v="7529"/>
    <s v="Producción"/>
    <s v="Descartada"/>
    <m/>
    <m/>
    <m/>
    <m/>
    <m/>
    <m/>
    <m/>
    <m/>
    <s v=""/>
    <s v=""/>
    <s v=""/>
    <n v="0"/>
    <s v=""/>
    <m/>
    <m/>
    <m/>
    <m/>
    <m/>
    <m/>
    <m/>
  </r>
  <r>
    <x v="47"/>
    <x v="47"/>
    <n v="7530"/>
    <s v="TI"/>
    <s v="Descartada"/>
    <m/>
    <m/>
    <m/>
    <m/>
    <m/>
    <m/>
    <m/>
    <m/>
    <s v=""/>
    <s v=""/>
    <s v=""/>
    <n v="0"/>
    <s v=""/>
    <m/>
    <m/>
    <m/>
    <m/>
    <m/>
    <m/>
    <m/>
  </r>
  <r>
    <x v="48"/>
    <x v="48"/>
    <n v="7531"/>
    <s v="Logística"/>
    <s v="Descartada"/>
    <m/>
    <m/>
    <m/>
    <m/>
    <m/>
    <m/>
    <m/>
    <m/>
    <s v=""/>
    <s v=""/>
    <s v=""/>
    <n v="0"/>
    <s v=""/>
    <m/>
    <m/>
    <m/>
    <m/>
    <m/>
    <m/>
    <m/>
  </r>
  <r>
    <x v="49"/>
    <x v="49"/>
    <n v="7532"/>
    <s v="Logística"/>
    <s v="Descartada"/>
    <m/>
    <m/>
    <m/>
    <m/>
    <m/>
    <m/>
    <m/>
    <m/>
    <s v=""/>
    <s v=""/>
    <s v=""/>
    <n v="0"/>
    <s v=""/>
    <m/>
    <m/>
    <m/>
    <m/>
    <m/>
    <m/>
    <m/>
  </r>
  <r>
    <x v="49"/>
    <x v="49"/>
    <n v="7533"/>
    <s v="Logística"/>
    <s v="Descartada"/>
    <m/>
    <m/>
    <m/>
    <m/>
    <m/>
    <m/>
    <m/>
    <m/>
    <s v=""/>
    <s v=""/>
    <s v=""/>
    <n v="0"/>
    <s v=""/>
    <m/>
    <m/>
    <m/>
    <m/>
    <m/>
    <m/>
    <m/>
  </r>
  <r>
    <x v="50"/>
    <x v="50"/>
    <n v="7534"/>
    <s v="Logística"/>
    <s v="Descartada"/>
    <m/>
    <m/>
    <m/>
    <m/>
    <m/>
    <m/>
    <m/>
    <m/>
    <s v=""/>
    <s v=""/>
    <s v=""/>
    <n v="0"/>
    <s v=""/>
    <m/>
    <m/>
    <m/>
    <m/>
    <m/>
    <m/>
    <m/>
  </r>
  <r>
    <x v="51"/>
    <x v="51"/>
    <n v="7535"/>
    <s v="Logística"/>
    <s v="Descartada"/>
    <m/>
    <m/>
    <m/>
    <m/>
    <m/>
    <m/>
    <m/>
    <m/>
    <s v=""/>
    <s v=""/>
    <s v=""/>
    <n v="0"/>
    <s v=""/>
    <m/>
    <m/>
    <m/>
    <m/>
    <m/>
    <m/>
    <m/>
  </r>
  <r>
    <x v="52"/>
    <x v="52"/>
    <n v="7536"/>
    <s v="Logística"/>
    <s v="Descartada"/>
    <m/>
    <m/>
    <m/>
    <m/>
    <m/>
    <m/>
    <m/>
    <m/>
    <s v=""/>
    <s v=""/>
    <s v=""/>
    <n v="0"/>
    <s v=""/>
    <m/>
    <m/>
    <m/>
    <m/>
    <m/>
    <m/>
    <m/>
  </r>
  <r>
    <x v="53"/>
    <x v="49"/>
    <n v="7537"/>
    <s v="Logística"/>
    <s v="Descartada"/>
    <m/>
    <m/>
    <m/>
    <m/>
    <m/>
    <m/>
    <m/>
    <m/>
    <s v=""/>
    <s v=""/>
    <s v=""/>
    <n v="0"/>
    <s v=""/>
    <m/>
    <m/>
    <m/>
    <m/>
    <m/>
    <m/>
    <m/>
  </r>
  <r>
    <x v="48"/>
    <x v="48"/>
    <n v="7538"/>
    <s v="Logística"/>
    <s v="Descartada"/>
    <m/>
    <m/>
    <m/>
    <m/>
    <m/>
    <m/>
    <m/>
    <m/>
    <s v=""/>
    <s v=""/>
    <s v=""/>
    <n v="0"/>
    <s v=""/>
    <m/>
    <m/>
    <m/>
    <m/>
    <m/>
    <m/>
    <m/>
  </r>
  <r>
    <x v="50"/>
    <x v="50"/>
    <n v="7539"/>
    <s v="Logística"/>
    <s v="Descartada"/>
    <m/>
    <m/>
    <m/>
    <m/>
    <m/>
    <m/>
    <m/>
    <m/>
    <s v=""/>
    <s v=""/>
    <s v=""/>
    <n v="0"/>
    <s v=""/>
    <m/>
    <m/>
    <m/>
    <m/>
    <m/>
    <m/>
    <m/>
  </r>
  <r>
    <x v="54"/>
    <x v="53"/>
    <n v="7540"/>
    <s v="Producción"/>
    <s v="Descartada"/>
    <m/>
    <m/>
    <m/>
    <m/>
    <m/>
    <m/>
    <m/>
    <m/>
    <s v=""/>
    <s v=""/>
    <s v=""/>
    <n v="0"/>
    <s v=""/>
    <s v="09/12/2024 Notificado"/>
    <m/>
    <m/>
    <m/>
    <m/>
    <m/>
    <m/>
  </r>
  <r>
    <x v="55"/>
    <x v="54"/>
    <n v="7541"/>
    <s v="Producción"/>
    <s v="Calificada"/>
    <n v="1200000"/>
    <s v="N/A"/>
    <s v="A"/>
    <n v="0"/>
    <n v="0"/>
    <n v="0.05"/>
    <n v="7.0000000000000007E-2"/>
    <n v="0"/>
    <n v="2200"/>
    <s v="0"/>
    <n v="2200"/>
    <n v="1848"/>
    <n v="6248"/>
    <m/>
    <s v="Técnica G1"/>
    <s v="Media"/>
    <s v="Linterna para casco"/>
    <s v="Cotizar linterna elastica que sirva para poneser en la cabeza o en el casco"/>
    <m/>
    <m/>
  </r>
  <r>
    <x v="56"/>
    <x v="55"/>
    <n v="7542"/>
    <s v="Producción"/>
    <s v="Descartada"/>
    <m/>
    <m/>
    <m/>
    <m/>
    <m/>
    <m/>
    <m/>
    <m/>
    <s v=""/>
    <s v=""/>
    <s v=""/>
    <n v="0"/>
    <s v=""/>
    <m/>
    <m/>
    <m/>
    <m/>
    <m/>
    <m/>
    <m/>
  </r>
  <r>
    <x v="54"/>
    <x v="53"/>
    <n v="7543"/>
    <s v="Producción"/>
    <s v="Descartada"/>
    <m/>
    <m/>
    <m/>
    <m/>
    <m/>
    <m/>
    <m/>
    <m/>
    <s v=""/>
    <s v=""/>
    <s v=""/>
    <n v="0"/>
    <s v=""/>
    <s v="09/12/2025 Notificado "/>
    <m/>
    <m/>
    <m/>
    <m/>
    <m/>
    <m/>
  </r>
  <r>
    <x v="12"/>
    <x v="12"/>
    <n v="7544"/>
    <s v="Producción"/>
    <s v="Descartada"/>
    <m/>
    <m/>
    <m/>
    <m/>
    <m/>
    <m/>
    <m/>
    <m/>
    <s v=""/>
    <s v=""/>
    <s v=""/>
    <n v="0"/>
    <s v=""/>
    <s v="No es útil"/>
    <m/>
    <m/>
    <m/>
    <m/>
    <m/>
    <m/>
  </r>
  <r>
    <x v="12"/>
    <x v="12"/>
    <n v="7545"/>
    <s v="Producción"/>
    <s v="Descartada"/>
    <m/>
    <m/>
    <m/>
    <m/>
    <m/>
    <m/>
    <m/>
    <m/>
    <s v=""/>
    <s v=""/>
    <s v=""/>
    <n v="0"/>
    <s v=""/>
    <s v="09/12/2024 Se le explicaron las razones por las cuales su idea no fue tenida en cuenta."/>
    <m/>
    <m/>
    <m/>
    <m/>
    <m/>
    <m/>
  </r>
  <r>
    <x v="57"/>
    <x v="56"/>
    <n v="6769"/>
    <s v="Producción"/>
    <s v="Calificada"/>
    <n v="0"/>
    <s v="&lt;=3"/>
    <s v="A"/>
    <n v="0.05"/>
    <n v="0.16"/>
    <n v="0"/>
    <n v="0"/>
    <n v="0"/>
    <n v="2200"/>
    <n v="2200"/>
    <n v="2200"/>
    <n v="3233.9999999999995"/>
    <n v="9834"/>
    <s v="18/09/2024 Puntuada."/>
    <s v="Técnica G1"/>
    <s v="Alta"/>
    <s v="Reemplazar estopa por trapitos"/>
    <s v="Ya esta implementada, realizar analisis de reduccion de costos"/>
    <s v="Gustavo Ossa - Julián Giraldo"/>
    <s v="En proceso"/>
  </r>
  <r>
    <x v="58"/>
    <x v="57"/>
    <n v="7547"/>
    <s v="Producción"/>
    <s v="Descartada"/>
    <m/>
    <m/>
    <m/>
    <m/>
    <m/>
    <m/>
    <m/>
    <m/>
    <s v=""/>
    <s v=""/>
    <s v=""/>
    <n v="0"/>
    <s v=""/>
    <m/>
    <m/>
    <m/>
    <m/>
    <m/>
    <m/>
    <m/>
  </r>
  <r>
    <x v="4"/>
    <x v="4"/>
    <n v="7548"/>
    <s v="Producción"/>
    <s v="Calificada"/>
    <n v="6000000"/>
    <s v="N/A"/>
    <s v="B"/>
    <n v="0"/>
    <n v="0"/>
    <n v="0.15"/>
    <n v="0"/>
    <n v="0"/>
    <n v="2200"/>
    <s v="0"/>
    <n v="1100"/>
    <n v="2310"/>
    <n v="5610"/>
    <m/>
    <s v="Técnica G2"/>
    <s v="No Viable"/>
    <s v="Plataforma movil para cargue de material máquina 18"/>
    <s v="No es viable por falta de espacio en la zona y por la complejidad para maniobrar y fabricar."/>
    <m/>
    <m/>
  </r>
  <r>
    <x v="59"/>
    <x v="58"/>
    <n v="7549"/>
    <s v="Producción"/>
    <s v="Calificada"/>
    <n v="10000000"/>
    <s v="&gt;6"/>
    <s v="A"/>
    <n v="0"/>
    <n v="0.12"/>
    <n v="0"/>
    <n v="0.1"/>
    <n v="0.01"/>
    <n v="2200"/>
    <n v="550"/>
    <n v="2200"/>
    <n v="3541.9999999999995"/>
    <n v="8492"/>
    <m/>
    <s v="Técnica G1"/>
    <s v="Media"/>
    <s v="Bitácora de montajes y moldes por máquina"/>
    <s v="Conectar con el archivo de combinaciones de planeación de la producción. (Gustavo Ossa y Eduard Tangarife)"/>
    <m/>
    <m/>
  </r>
  <r>
    <x v="15"/>
    <x v="15"/>
    <n v="5427"/>
    <s v="TI"/>
    <s v="Calificada"/>
    <n v="1000000"/>
    <s v="&gt;6"/>
    <s v="A"/>
    <n v="0.08"/>
    <n v="0.04"/>
    <n v="0"/>
    <n v="0"/>
    <n v="0.03"/>
    <n v="2200"/>
    <n v="550"/>
    <n v="2200"/>
    <n v="2309.9999999999995"/>
    <n v="7260"/>
    <s v="31/07/2024 Puntuada"/>
    <s v="Técnica G1"/>
    <s v="Alta"/>
    <s v="Repositorio de fichas tecnicas de productos producidos"/>
    <s v="Gustavo Ossa hablará con Camilo sobre la ubicación de las Fichas tecnicas en un espacio del tablero en vivo."/>
    <s v="Gustavo Ossa - Camilo Agudelo"/>
    <m/>
  </r>
  <r>
    <x v="60"/>
    <x v="59"/>
    <n v="7551"/>
    <s v="Producción"/>
    <s v="Calificada"/>
    <n v="10000000"/>
    <s v="&gt;6"/>
    <s v="B"/>
    <n v="0"/>
    <n v="0.05"/>
    <n v="0"/>
    <n v="0"/>
    <n v="0"/>
    <n v="2200"/>
    <n v="550"/>
    <n v="1100"/>
    <n v="769.99999999999989"/>
    <n v="4620"/>
    <m/>
    <s v="Técnica G2"/>
    <s v="Media"/>
    <s v="Bitácora con información de peso de los moldes para balanceo en montajes"/>
    <s v="Esta información la está levantando Edwin Jaramillo gestor ESMED"/>
    <m/>
    <m/>
  </r>
  <r>
    <x v="48"/>
    <x v="48"/>
    <n v="7553"/>
    <s v="Logística"/>
    <s v="Descartada"/>
    <m/>
    <m/>
    <m/>
    <m/>
    <m/>
    <m/>
    <m/>
    <m/>
    <s v=""/>
    <s v=""/>
    <s v=""/>
    <n v="0"/>
    <s v=""/>
    <m/>
    <m/>
    <m/>
    <m/>
    <m/>
    <m/>
    <m/>
  </r>
  <r>
    <x v="60"/>
    <x v="59"/>
    <n v="7550"/>
    <s v="Producción"/>
    <s v="Calificada"/>
    <n v="1000000"/>
    <s v="N/A"/>
    <s v="B"/>
    <n v="0"/>
    <n v="7.0000000000000007E-2"/>
    <n v="0"/>
    <n v="0"/>
    <n v="0"/>
    <n v="2200"/>
    <s v="0"/>
    <n v="1100"/>
    <n v="1078"/>
    <n v="4378"/>
    <m/>
    <s v="Técnica G2"/>
    <s v="Alta"/>
    <s v="Bitacora con pesos de los productos"/>
    <s v="Producción debe construir"/>
    <s v="Gustavo Ossa - Camilo Agudelo"/>
    <m/>
  </r>
  <r>
    <x v="61"/>
    <x v="60"/>
    <n v="7555"/>
    <s v="Logística"/>
    <s v="Descartada"/>
    <m/>
    <m/>
    <m/>
    <m/>
    <m/>
    <m/>
    <m/>
    <m/>
    <s v=""/>
    <s v=""/>
    <s v=""/>
    <n v="0"/>
    <s v=""/>
    <s v="Informar los despachos al cliente por mensaje, descartada por que ya esta dentro del contrato con EasySales"/>
    <m/>
    <m/>
    <m/>
    <m/>
    <m/>
    <m/>
  </r>
  <r>
    <x v="42"/>
    <x v="42"/>
    <n v="7557"/>
    <s v="Producción"/>
    <s v="Calificada"/>
    <n v="5000000"/>
    <s v="N/A"/>
    <s v="A"/>
    <n v="0"/>
    <n v="0"/>
    <n v="0.15"/>
    <n v="7.0000000000000007E-2"/>
    <n v="0.05"/>
    <n v="2200"/>
    <s v="0"/>
    <n v="2200"/>
    <n v="4158"/>
    <n v="8558"/>
    <m/>
    <s v="Comercial"/>
    <s v="Media"/>
    <s v="Carpa para almacenar devoluciones de productos"/>
    <s v="Coordinar con Diego Cuervo y Myriam para usar la carpa de productos como contenedores para almacenar las devoluciones."/>
    <m/>
    <m/>
  </r>
  <r>
    <x v="62"/>
    <x v="61"/>
    <n v="7558"/>
    <s v="Logística"/>
    <s v="Descartada"/>
    <m/>
    <m/>
    <m/>
    <m/>
    <m/>
    <m/>
    <m/>
    <m/>
    <s v=""/>
    <s v=""/>
    <s v=""/>
    <n v="0"/>
    <s v=""/>
    <m/>
    <m/>
    <m/>
    <m/>
    <m/>
    <m/>
    <m/>
  </r>
  <r>
    <x v="63"/>
    <x v="62"/>
    <n v="7559"/>
    <s v="Financiera"/>
    <s v="Descartada"/>
    <m/>
    <m/>
    <m/>
    <m/>
    <m/>
    <m/>
    <m/>
    <m/>
    <s v=""/>
    <s v=""/>
    <s v=""/>
    <n v="0"/>
    <s v=""/>
    <m/>
    <m/>
    <m/>
    <m/>
    <m/>
    <m/>
    <m/>
  </r>
  <r>
    <x v="64"/>
    <x v="63"/>
    <n v="7560"/>
    <s v="Financiera"/>
    <s v="Calificada"/>
    <n v="0"/>
    <s v="N/A"/>
    <s v="A"/>
    <n v="0"/>
    <n v="0.03"/>
    <n v="0"/>
    <n v="0.04"/>
    <n v="0.01"/>
    <n v="2200"/>
    <s v="0"/>
    <n v="2200"/>
    <n v="1231.9999999999998"/>
    <n v="5632"/>
    <s v="Días para pagos  de bienestar y 90% de anticipo para proveedores."/>
    <s v="Comercial"/>
    <s v="Baja"/>
    <s v="Tiempo de pagos bienestar y 90% de anticipos"/>
    <s v="Se ha ejecutado los pagos del 90%del anticipo en los casos posibles."/>
    <m/>
    <m/>
  </r>
  <r>
    <x v="65"/>
    <x v="64"/>
    <n v="7561"/>
    <s v="Financiera"/>
    <s v="Calificada"/>
    <n v="0"/>
    <s v="N/A"/>
    <s v="B"/>
    <n v="0"/>
    <n v="0"/>
    <n v="0"/>
    <n v="0.04"/>
    <n v="0.01"/>
    <n v="2200"/>
    <s v="0"/>
    <n v="1100"/>
    <n v="769.99999999999989"/>
    <n v="4070"/>
    <s v="Elaboración automática de impuesto"/>
    <s v="Comercial"/>
    <s v="No Viable"/>
    <s v="Automatización de impuestos"/>
    <s v="Se está ejecutando desde antes del programa de puntos por ideas"/>
    <m/>
    <m/>
  </r>
  <r>
    <x v="66"/>
    <x v="65"/>
    <n v="7562"/>
    <s v="Logística"/>
    <s v="Calificada"/>
    <n v="0"/>
    <s v="&lt;=3"/>
    <s v="A"/>
    <n v="0"/>
    <n v="0.2"/>
    <n v="0"/>
    <n v="0"/>
    <n v="0"/>
    <n v="2200"/>
    <n v="2200"/>
    <n v="2200"/>
    <n v="3079.9999999999995"/>
    <n v="9680"/>
    <m/>
    <s v="Comercial"/>
    <s v="Alta"/>
    <s v="Materia prima a granel"/>
    <s v="Valentina realizará cotización de dos opciones con y sin estibar en la bodega "/>
    <s v="Diego Cuervo - Valentina Arboleda - Daniela Zapata"/>
    <s v="En proceso"/>
  </r>
  <r>
    <x v="67"/>
    <x v="66"/>
    <n v="7564"/>
    <s v="Producción"/>
    <s v="Calificada"/>
    <n v="3000000"/>
    <s v="N/A"/>
    <s v="B"/>
    <n v="0"/>
    <n v="0"/>
    <n v="0"/>
    <n v="0"/>
    <n v="0"/>
    <n v="2200"/>
    <s v="0"/>
    <n v="1100"/>
    <n v="0"/>
    <n v="3300"/>
    <m/>
    <s v="Técnica G2"/>
    <s v="No Viable"/>
    <s v="Estructura en báscula de la mezcladora"/>
    <s v="No soluciona el problema, hay otras opciones"/>
    <m/>
    <m/>
  </r>
  <r>
    <x v="68"/>
    <x v="67"/>
    <n v="7652"/>
    <s v="Producción"/>
    <s v="Descartada"/>
    <m/>
    <m/>
    <m/>
    <m/>
    <m/>
    <m/>
    <m/>
    <m/>
    <s v=""/>
    <s v=""/>
    <s v=""/>
    <n v="0"/>
    <s v=""/>
    <m/>
    <m/>
    <m/>
    <m/>
    <m/>
    <m/>
    <m/>
  </r>
  <r>
    <x v="69"/>
    <x v="68"/>
    <n v="8064"/>
    <s v="Comercial"/>
    <s v="Calificada"/>
    <n v="3000000"/>
    <s v="&lt;=3"/>
    <s v="B"/>
    <n v="0"/>
    <n v="0.05"/>
    <n v="0"/>
    <n v="0.1"/>
    <n v="0.01"/>
    <n v="2200"/>
    <n v="2200"/>
    <n v="1100"/>
    <n v="2463.9999999999995"/>
    <n v="7964"/>
    <s v="App para entrega y remisiones"/>
    <s v="Comercial"/>
    <s v="Alta"/>
    <s v="Aplicativo para facturas y remisiones"/>
    <m/>
    <s v="Diego Cuervo - Ingrid Perdomo"/>
    <s v="En proceso"/>
  </r>
  <r>
    <x v="60"/>
    <x v="59"/>
    <n v="7689"/>
    <s v="Producción"/>
    <s v="Descartada"/>
    <m/>
    <m/>
    <m/>
    <m/>
    <m/>
    <m/>
    <m/>
    <m/>
    <s v=""/>
    <s v=""/>
    <s v=""/>
    <n v="0"/>
    <s v=""/>
    <m/>
    <m/>
    <m/>
    <m/>
    <m/>
    <m/>
    <m/>
  </r>
  <r>
    <x v="70"/>
    <x v="33"/>
    <n v="7758"/>
    <s v="TI"/>
    <s v="Calificada"/>
    <n v="25000000"/>
    <s v="&gt;6"/>
    <s v="C"/>
    <n v="0"/>
    <n v="0.04"/>
    <n v="0"/>
    <n v="0"/>
    <n v="0"/>
    <n v="440.00000000000011"/>
    <n v="550"/>
    <n v="440.00000000000011"/>
    <n v="615.99999999999989"/>
    <n v="2046"/>
    <m/>
    <s v="Comercial"/>
    <s v="No Viable"/>
    <s v="Macetas Apilables"/>
    <s v="No es un producto del core de negocio, falta mayor detalle de la idea"/>
    <m/>
    <m/>
  </r>
  <r>
    <x v="5"/>
    <x v="5"/>
    <n v="7759"/>
    <s v="Producción"/>
    <s v="Descartada"/>
    <m/>
    <m/>
    <m/>
    <m/>
    <m/>
    <m/>
    <m/>
    <m/>
    <s v=""/>
    <s v=""/>
    <s v=""/>
    <n v="0"/>
    <s v=""/>
    <m/>
    <m/>
    <m/>
    <m/>
    <m/>
    <m/>
    <m/>
  </r>
  <r>
    <x v="5"/>
    <x v="5"/>
    <n v="7760"/>
    <s v="Producción"/>
    <s v="Descartada"/>
    <m/>
    <m/>
    <m/>
    <m/>
    <m/>
    <m/>
    <m/>
    <m/>
    <s v=""/>
    <s v=""/>
    <s v=""/>
    <n v="0"/>
    <s v=""/>
    <m/>
    <m/>
    <m/>
    <m/>
    <m/>
    <m/>
    <m/>
  </r>
  <r>
    <x v="71"/>
    <x v="69"/>
    <n v="7761"/>
    <s v="Mantenimiento"/>
    <s v="Calificada"/>
    <n v="50000000"/>
    <s v="&gt;6"/>
    <s v="C"/>
    <n v="0.1"/>
    <n v="0.05"/>
    <n v="0.1"/>
    <n v="0"/>
    <n v="0"/>
    <n v="440.00000000000011"/>
    <n v="550"/>
    <n v="440.00000000000011"/>
    <n v="3849.9999999999991"/>
    <n v="5279.9999999999991"/>
    <m/>
    <s v="Técnica G2"/>
    <s v="Baja"/>
    <s v="Dimerizar iluminación de la planta"/>
    <s v="Se debe hacer estudio de calidad de energía y se debe revisar con un luxometro la cantidad de luz requerida en la planta por area. Se debe cotizar y hacer un estudio del ROI para determinar su viabilidad."/>
    <m/>
    <m/>
  </r>
  <r>
    <x v="71"/>
    <x v="69"/>
    <n v="7762"/>
    <s v="Mantenimiento"/>
    <s v="Descartada"/>
    <m/>
    <m/>
    <m/>
    <m/>
    <m/>
    <m/>
    <m/>
    <m/>
    <s v=""/>
    <s v=""/>
    <s v=""/>
    <n v="0"/>
    <s v=""/>
    <s v="22/02/2025 Se cerró programa, colaborador sigue incapacitado, no se pudo sustentar."/>
    <m/>
    <m/>
    <m/>
    <m/>
    <m/>
    <m/>
  </r>
  <r>
    <x v="71"/>
    <x v="69"/>
    <n v="7763"/>
    <s v="Mantenimiento"/>
    <s v="Descartada"/>
    <m/>
    <m/>
    <m/>
    <m/>
    <m/>
    <m/>
    <m/>
    <m/>
    <s v=""/>
    <s v=""/>
    <s v=""/>
    <n v="0"/>
    <s v=""/>
    <m/>
    <m/>
    <m/>
    <m/>
    <m/>
    <m/>
    <m/>
  </r>
  <r>
    <x v="34"/>
    <x v="34"/>
    <n v="7775"/>
    <s v="Producción"/>
    <s v="Descartada"/>
    <m/>
    <m/>
    <m/>
    <m/>
    <m/>
    <m/>
    <m/>
    <m/>
    <s v=""/>
    <s v=""/>
    <s v=""/>
    <n v="0"/>
    <s v=""/>
    <s v="Revisar de nuevo"/>
    <m/>
    <m/>
    <m/>
    <m/>
    <m/>
    <m/>
  </r>
  <r>
    <x v="72"/>
    <x v="70"/>
    <n v="7921"/>
    <s v="Producción"/>
    <s v="Descartada"/>
    <m/>
    <m/>
    <m/>
    <m/>
    <m/>
    <m/>
    <m/>
    <m/>
    <s v=""/>
    <s v=""/>
    <s v=""/>
    <n v="0"/>
    <s v=""/>
    <m/>
    <m/>
    <m/>
    <m/>
    <m/>
    <m/>
    <m/>
  </r>
  <r>
    <x v="73"/>
    <x v="71"/>
    <n v="7988"/>
    <s v="Comercial"/>
    <s v="Calificada"/>
    <n v="7500000"/>
    <s v="&gt;6"/>
    <s v="B"/>
    <n v="0.25"/>
    <n v="0.05"/>
    <n v="0"/>
    <n v="0"/>
    <n v="0"/>
    <n v="2200"/>
    <n v="550"/>
    <n v="1100"/>
    <n v="4619.9999999999991"/>
    <n v="8470"/>
    <s v="Charlas Ambientales"/>
    <s v="Comercial"/>
    <s v="Baja"/>
    <s v="Charlas ambientales"/>
    <s v="Actualmente se hace  con TH la marca empleadora"/>
    <m/>
    <m/>
  </r>
  <r>
    <x v="74"/>
    <x v="72"/>
    <n v="7989"/>
    <s v="Comercial"/>
    <s v="Descartada"/>
    <m/>
    <m/>
    <m/>
    <m/>
    <m/>
    <m/>
    <m/>
    <m/>
    <s v=""/>
    <s v=""/>
    <s v=""/>
    <n v="0"/>
    <s v=""/>
    <s v="No aplica para el modelo de negocio de Rotoplast"/>
    <m/>
    <m/>
    <m/>
    <m/>
    <m/>
    <m/>
  </r>
  <r>
    <x v="69"/>
    <x v="68"/>
    <n v="7990"/>
    <s v="Comercial"/>
    <s v="Calificada"/>
    <n v="6000000"/>
    <s v="&gt;6"/>
    <s v="A"/>
    <n v="0.25"/>
    <n v="0.05"/>
    <n v="0"/>
    <n v="0"/>
    <n v="0"/>
    <n v="2200"/>
    <n v="550"/>
    <n v="2200"/>
    <n v="4619.9999999999991"/>
    <n v="9570"/>
    <s v="Desarenador"/>
    <s v="Comercial"/>
    <s v="Alta"/>
    <s v="Desarenador con tanques horizontales para usos en PTAP, lavadero autos, etc."/>
    <s v="Está en proceso, se debe definir si es una prioridad para este año"/>
    <s v="Darlin Correa - Juan David"/>
    <m/>
  </r>
  <r>
    <x v="75"/>
    <x v="73"/>
    <n v="7991"/>
    <s v="Comercial"/>
    <s v="Calificada"/>
    <n v="20000000"/>
    <s v="&gt;6"/>
    <s v="B"/>
    <n v="0.15"/>
    <n v="0.12"/>
    <n v="0"/>
    <n v="0"/>
    <n v="0"/>
    <n v="1320"/>
    <n v="550"/>
    <n v="1100"/>
    <n v="4158"/>
    <n v="7128"/>
    <s v="Lavadero Bicicletas"/>
    <s v="Comercial"/>
    <s v="Baja"/>
    <s v="Lavadero bicicletas"/>
    <s v="No es un producto del core de negocio, se podría buscar un aliado para el desarrollo y comercialización"/>
    <m/>
    <m/>
  </r>
  <r>
    <x v="69"/>
    <x v="68"/>
    <n v="7992"/>
    <s v="Comercial"/>
    <s v="Descartada"/>
    <m/>
    <m/>
    <m/>
    <m/>
    <m/>
    <m/>
    <m/>
    <m/>
    <s v=""/>
    <s v=""/>
    <s v=""/>
    <n v="0"/>
    <s v=""/>
    <s v="Soporte Saladero, no se considera una solución para mejora del producto"/>
    <m/>
    <m/>
    <m/>
    <m/>
    <m/>
    <m/>
  </r>
  <r>
    <x v="69"/>
    <x v="68"/>
    <n v="7993"/>
    <s v="Comercial"/>
    <s v="Calificada"/>
    <n v="10000000"/>
    <s v="N/A"/>
    <s v="A"/>
    <n v="0.05"/>
    <n v="0"/>
    <n v="0"/>
    <n v="0"/>
    <n v="0"/>
    <n v="2200"/>
    <s v="0"/>
    <n v="2200"/>
    <n v="769.99999999999989"/>
    <n v="5170"/>
    <s v="Vasos con ripio de café"/>
    <s v="Comercial"/>
    <s v="No Viable"/>
    <s v="Vasos con ripio de café para suvenires"/>
    <s v="Se considera que no aplica para ejecutarse"/>
    <m/>
    <m/>
  </r>
  <r>
    <x v="9"/>
    <x v="9"/>
    <n v="7994"/>
    <s v="Comercial"/>
    <s v="Descartada"/>
    <m/>
    <m/>
    <m/>
    <m/>
    <m/>
    <m/>
    <m/>
    <m/>
    <s v=""/>
    <s v=""/>
    <s v=""/>
    <n v="0"/>
    <s v=""/>
    <s v="Cajon moto, se descarta por que no es un producto competitivo con otros materiales"/>
    <m/>
    <m/>
    <m/>
    <m/>
    <m/>
    <m/>
  </r>
  <r>
    <x v="76"/>
    <x v="74"/>
    <n v="8054"/>
    <s v="Comercial"/>
    <s v="Descartada"/>
    <m/>
    <m/>
    <m/>
    <m/>
    <m/>
    <m/>
    <m/>
    <m/>
    <s v=""/>
    <s v=""/>
    <s v=""/>
    <n v="0"/>
    <s v=""/>
    <s v="Marcacion de reclamos, se acepta la sugerencia pero no es calificable por que no entra detro de los críterios de calificación"/>
    <m/>
    <m/>
    <m/>
    <m/>
    <m/>
    <m/>
  </r>
  <r>
    <x v="77"/>
    <x v="75"/>
    <n v="8055"/>
    <s v="Comercial"/>
    <s v="Descartada"/>
    <m/>
    <m/>
    <m/>
    <m/>
    <m/>
    <m/>
    <m/>
    <m/>
    <s v=""/>
    <s v=""/>
    <s v=""/>
    <n v="0"/>
    <s v=""/>
    <s v="Grupo para compartir información de mercadeo, no es viable unificar los contactos de clientes en un grupo"/>
    <m/>
    <m/>
    <m/>
    <m/>
    <m/>
    <m/>
  </r>
  <r>
    <x v="69"/>
    <x v="68"/>
    <n v="8056"/>
    <s v="Comercial"/>
    <s v="Calificada"/>
    <n v="15000000"/>
    <s v="N/A"/>
    <s v="B"/>
    <n v="0"/>
    <n v="0"/>
    <n v="0"/>
    <n v="0.05"/>
    <n v="0"/>
    <n v="1320"/>
    <s v="0"/>
    <n v="1100"/>
    <n v="769.99999999999989"/>
    <n v="3190"/>
    <s v="Diligenciar formatos en celular y no excel"/>
    <s v="Comercial"/>
    <s v="No Viable"/>
    <s v="Links para formatos administrativos"/>
    <s v="Se ha implementado en sharepoint"/>
    <m/>
    <m/>
  </r>
  <r>
    <x v="69"/>
    <x v="68"/>
    <n v="8057"/>
    <s v="Comercial"/>
    <s v="Calificada"/>
    <n v="100000000"/>
    <s v="&gt;6"/>
    <s v="C"/>
    <n v="0"/>
    <n v="0.05"/>
    <n v="0"/>
    <n v="0"/>
    <n v="0"/>
    <n v="440.00000000000011"/>
    <n v="550"/>
    <n v="440.00000000000011"/>
    <n v="769.99999999999989"/>
    <n v="2200"/>
    <s v="Paleta y cucharon para tanque tina"/>
    <s v="Comercial"/>
    <s v="Media"/>
    <s v="Paleta cafetera"/>
    <s v="Producto para comercializar"/>
    <m/>
    <m/>
  </r>
  <r>
    <x v="78"/>
    <x v="76"/>
    <n v="8058"/>
    <s v="Comercial"/>
    <s v="Calificada"/>
    <n v="6000000"/>
    <s v="&gt;6"/>
    <s v="B"/>
    <n v="0.12"/>
    <n v="7.0000000000000007E-2"/>
    <n v="0"/>
    <n v="0"/>
    <n v="0"/>
    <n v="2200"/>
    <n v="550"/>
    <n v="1100"/>
    <n v="2926"/>
    <n v="6776"/>
    <s v="Sistema para filtrado de agua lluvia y abastecimiento de la misma"/>
    <s v="Comercial"/>
    <s v="Alta"/>
    <s v="Sistema para filtración y almacenamiento de agua lluvia"/>
    <s v="Revisar con Albeiro Burbano"/>
    <s v="Darlin Correa - Juan David"/>
    <m/>
  </r>
  <r>
    <x v="79"/>
    <x v="77"/>
    <n v="8059"/>
    <s v="Comercial"/>
    <s v="Descartada"/>
    <m/>
    <m/>
    <m/>
    <m/>
    <m/>
    <m/>
    <m/>
    <m/>
    <s v=""/>
    <s v=""/>
    <s v=""/>
    <n v="0"/>
    <s v=""/>
    <s v="Las ideas presentadas ya estan implementadas, la base de datos de clientes finales no entra detro de los críterios de calificación"/>
    <m/>
    <m/>
    <m/>
    <m/>
    <m/>
    <m/>
  </r>
  <r>
    <x v="69"/>
    <x v="68"/>
    <n v="8063"/>
    <s v="Comercial"/>
    <s v="Calificada"/>
    <n v="6000000"/>
    <s v="&gt;6"/>
    <s v="B"/>
    <n v="0.12"/>
    <n v="7.0000000000000007E-2"/>
    <n v="0"/>
    <n v="0"/>
    <n v="0"/>
    <n v="2200"/>
    <n v="550"/>
    <n v="1100"/>
    <n v="2926"/>
    <n v="6776"/>
    <s v="Filtro Agua Lluvia con tanques botella"/>
    <s v="Comercial"/>
    <s v="Alta"/>
    <s v="Filtro con minerales para agua lluvia"/>
    <s v="Revisar con Albeiro Burbano"/>
    <s v="Darlin Correa - Juan David"/>
    <m/>
  </r>
  <r>
    <x v="80"/>
    <x v="78"/>
    <n v="8061"/>
    <s v="Comercial"/>
    <s v="Calificada"/>
    <n v="0"/>
    <s v="N/A"/>
    <s v="A"/>
    <n v="0"/>
    <n v="0"/>
    <n v="0"/>
    <n v="0"/>
    <n v="0"/>
    <n v="2200"/>
    <s v="0"/>
    <n v="2200"/>
    <n v="0"/>
    <n v="4400"/>
    <s v="Rana para marca Rotoplast"/>
    <s v="Comercial"/>
    <s v="Baja"/>
    <s v="Marca con Rana"/>
    <s v="Se puede investigar la viabilidad"/>
    <m/>
    <m/>
  </r>
  <r>
    <x v="76"/>
    <x v="74"/>
    <n v="8062"/>
    <s v="Comercial"/>
    <s v="Descartada"/>
    <m/>
    <m/>
    <m/>
    <m/>
    <m/>
    <m/>
    <m/>
    <m/>
    <s v=""/>
    <s v=""/>
    <s v=""/>
    <n v="0"/>
    <s v=""/>
    <s v="Procedimiento para instalación de sépticos. Descartada por ser una tarea cotidiana del SIG"/>
    <m/>
    <m/>
    <m/>
    <m/>
    <m/>
    <m/>
  </r>
  <r>
    <x v="80"/>
    <x v="78"/>
    <n v="8069"/>
    <s v="Comercial"/>
    <s v="Calificada"/>
    <n v="2000000"/>
    <s v="&gt;6"/>
    <s v="B"/>
    <n v="0.05"/>
    <n v="0.03"/>
    <n v="0"/>
    <n v="0"/>
    <n v="0"/>
    <n v="2200"/>
    <n v="550"/>
    <n v="1100"/>
    <n v="1231.9999999999998"/>
    <n v="5082"/>
    <s v="Tanque estiercolero"/>
    <s v="Comercial"/>
    <s v="Alta"/>
    <s v="Tanque Estercolero"/>
    <s v="Para consultar con Gabriel Jaime"/>
    <s v="Darlin Correa - Juan David"/>
    <m/>
  </r>
  <r>
    <x v="78"/>
    <x v="76"/>
    <n v="8232"/>
    <s v="Comercial"/>
    <s v="Calificada"/>
    <n v="5000000"/>
    <s v="&gt;6"/>
    <s v="B"/>
    <n v="0"/>
    <n v="7.0000000000000007E-2"/>
    <n v="0"/>
    <n v="0"/>
    <n v="0"/>
    <n v="2200"/>
    <n v="550"/>
    <n v="1100"/>
    <n v="1078"/>
    <n v="4928"/>
    <s v="Dosificador de Sal"/>
    <s v="Comercial"/>
    <s v="Alta"/>
    <s v="Saladero con dispensador"/>
    <s v="Revisar en comité innovación"/>
    <s v="Darlin Correa - Juan David"/>
    <m/>
  </r>
  <r>
    <x v="78"/>
    <x v="76"/>
    <n v="8066"/>
    <s v="Comercial"/>
    <s v="Descartada"/>
    <m/>
    <m/>
    <m/>
    <m/>
    <m/>
    <m/>
    <m/>
    <m/>
    <s v=""/>
    <s v=""/>
    <s v=""/>
    <n v="0"/>
    <s v=""/>
    <s v="Pozo absorción, se descarta por costo elevado y existen otras soluciones mejores"/>
    <m/>
    <m/>
    <m/>
    <m/>
    <m/>
    <m/>
  </r>
  <r>
    <x v="9"/>
    <x v="9"/>
    <n v="8067"/>
    <s v="Comercial"/>
    <s v="Descartada"/>
    <m/>
    <m/>
    <m/>
    <m/>
    <m/>
    <m/>
    <m/>
    <m/>
    <s v=""/>
    <s v=""/>
    <s v=""/>
    <n v="0"/>
    <s v=""/>
    <s v="Informar los despachos a asesor por mensaje, descartada por que ya esta dentro del contrato con EasySales"/>
    <m/>
    <m/>
    <m/>
    <m/>
    <m/>
    <m/>
  </r>
  <r>
    <x v="81"/>
    <x v="79"/>
    <n v="8068"/>
    <s v="Comercial"/>
    <s v="Descartada"/>
    <m/>
    <m/>
    <m/>
    <m/>
    <m/>
    <m/>
    <m/>
    <m/>
    <s v=""/>
    <s v=""/>
    <s v=""/>
    <n v="0"/>
    <s v=""/>
    <s v="Tanque Rectangular agua lluvia, el proyecto ya se tiene en los planes de Rotoplast, la forma rectangular no es la más recomendable para almacenar agua"/>
    <m/>
    <m/>
    <m/>
    <m/>
    <m/>
    <m/>
  </r>
  <r>
    <x v="61"/>
    <x v="60"/>
    <n v="7554"/>
    <s v="Logística"/>
    <s v="Calificada"/>
    <n v="10000000"/>
    <s v="&gt;6"/>
    <s v="B"/>
    <n v="0"/>
    <n v="0.05"/>
    <n v="0"/>
    <n v="0.05"/>
    <n v="0.01"/>
    <n v="2200"/>
    <n v="550"/>
    <n v="1100"/>
    <n v="1693.9999999999998"/>
    <n v="5544"/>
    <s v="Sala de ventas en Planta Rotoplast"/>
    <s v="Comercial"/>
    <s v="Alta"/>
    <s v="Sala para atención a clientes en planta Rotoplast"/>
    <s v="Ya se está construída, falta tema de atención"/>
    <s v="Darlin Correa"/>
    <s v="En proceso"/>
  </r>
  <r>
    <x v="1"/>
    <x v="1"/>
    <n v="8070"/>
    <s v="G.Administrativa"/>
    <s v="Descartada"/>
    <m/>
    <m/>
    <m/>
    <m/>
    <m/>
    <m/>
    <m/>
    <m/>
    <s v=""/>
    <s v=""/>
    <s v=""/>
    <n v="0"/>
    <s v=""/>
    <m/>
    <m/>
    <m/>
    <m/>
    <m/>
    <m/>
    <m/>
  </r>
  <r>
    <x v="74"/>
    <x v="72"/>
    <n v="8071"/>
    <s v="Comercial"/>
    <s v="Descartada"/>
    <m/>
    <m/>
    <m/>
    <m/>
    <m/>
    <m/>
    <m/>
    <m/>
    <s v=""/>
    <s v=""/>
    <s v=""/>
    <n v="0"/>
    <s v=""/>
    <s v="Actualizar bases de datos de clientes, es una tarea cotidiana del proceso comercial"/>
    <m/>
    <m/>
    <m/>
    <m/>
    <m/>
    <m/>
  </r>
  <r>
    <x v="25"/>
    <x v="25"/>
    <n v="8201"/>
    <s v="G.Técnica"/>
    <s v="Descartada"/>
    <m/>
    <m/>
    <m/>
    <m/>
    <m/>
    <m/>
    <m/>
    <m/>
    <s v=""/>
    <s v=""/>
    <s v=""/>
    <n v="0"/>
    <s v=""/>
    <s v="Laura debe informar"/>
    <m/>
    <m/>
    <m/>
    <m/>
    <m/>
    <m/>
  </r>
  <r>
    <x v="22"/>
    <x v="22"/>
    <n v="5368"/>
    <s v="Producción"/>
    <s v="Calificada"/>
    <n v="70000"/>
    <s v="&lt;=3"/>
    <s v="A"/>
    <n v="0"/>
    <n v="0.05"/>
    <n v="0.12"/>
    <n v="0.05"/>
    <n v="0"/>
    <n v="2200"/>
    <n v="2200"/>
    <n v="2200"/>
    <n v="3387.9999999999995"/>
    <n v="9988"/>
    <s v="24/07/2024 Puntuada"/>
    <s v="Técnica G1"/>
    <s v="Alta"/>
    <s v="O-ring y anillo de retención para pistolas de impacto"/>
    <s v="Validar con Sebastian Ossa si ya se implementó y hacerle seguimiento por parte de los supervisores y Edwin Jaramillo."/>
    <s v="Cristian Cardona - Edwin Jaramillo "/>
    <s v="En proceso"/>
  </r>
  <r>
    <x v="14"/>
    <x v="14"/>
    <n v="8392"/>
    <s v="Producción"/>
    <s v="Descartada"/>
    <m/>
    <m/>
    <m/>
    <m/>
    <m/>
    <m/>
    <m/>
    <m/>
    <s v=""/>
    <s v=""/>
    <s v=""/>
    <n v="0"/>
    <s v=""/>
    <s v="No sirve el producto "/>
    <m/>
    <m/>
    <m/>
    <m/>
    <m/>
    <m/>
  </r>
  <r>
    <x v="21"/>
    <x v="21"/>
    <n v="8961"/>
    <s v="G.Técnica"/>
    <s v="Calificada"/>
    <n v="1500000"/>
    <s v="N/A"/>
    <s v="A"/>
    <n v="0"/>
    <n v="0"/>
    <n v="0.03"/>
    <n v="0"/>
    <n v="0"/>
    <n v="2200"/>
    <s v="0"/>
    <n v="2200"/>
    <n v="461.99999999999994"/>
    <n v="4862"/>
    <m/>
    <s v="Técnica G2"/>
    <s v="Baja"/>
    <s v="Manija para tapa de desagues"/>
    <s v="Corresponde a infraestructura verificar su disponibilidad para la implementación"/>
    <m/>
    <m/>
  </r>
  <r>
    <x v="21"/>
    <x v="21"/>
    <n v="8962"/>
    <s v="G.Técnica"/>
    <s v="Calificada"/>
    <n v="3000000"/>
    <s v="&gt;6"/>
    <s v="A"/>
    <n v="0"/>
    <n v="0.09"/>
    <n v="0"/>
    <n v="0"/>
    <n v="0"/>
    <n v="2200"/>
    <n v="550"/>
    <n v="2200"/>
    <n v="1386"/>
    <n v="6336"/>
    <m/>
    <s v="Técnica G1"/>
    <s v="Media"/>
    <s v="Estructura para evitar corriente de aire en la maquina 8 y 17"/>
    <s v="Realizar una prueba con carton para validar si hay impacto en el proceso"/>
    <m/>
    <m/>
  </r>
  <r>
    <x v="82"/>
    <x v="80"/>
    <n v="8963"/>
    <s v="Producción"/>
    <s v="Calificada"/>
    <n v="300000"/>
    <s v="N/A"/>
    <s v="A"/>
    <n v="0"/>
    <n v="0"/>
    <n v="0.05"/>
    <n v="0"/>
    <n v="0.03"/>
    <n v="2200"/>
    <s v="0"/>
    <n v="2200"/>
    <n v="1231.9999999999998"/>
    <n v="5632"/>
    <m/>
    <s v="Técnica G2"/>
    <s v="Baja"/>
    <s v="Carretel para enrrollar manguera"/>
    <s v="Viable para implementar, el tiempo depende de la disponbilidad de mantenimiento."/>
    <m/>
    <m/>
  </r>
  <r>
    <x v="83"/>
    <x v="81"/>
    <n v="8964"/>
    <s v="Producción"/>
    <s v="Descartada"/>
    <m/>
    <m/>
    <m/>
    <m/>
    <m/>
    <m/>
    <m/>
    <m/>
    <s v=""/>
    <s v=""/>
    <s v=""/>
    <n v="0"/>
    <s v=""/>
    <s v="9/12/2024 Se informa que la empresa ya tiene un programa llamado marca empleadora."/>
    <m/>
    <m/>
    <m/>
    <m/>
    <m/>
    <m/>
  </r>
  <r>
    <x v="83"/>
    <x v="81"/>
    <n v="8965"/>
    <s v="Producción"/>
    <s v="Descartada"/>
    <m/>
    <m/>
    <m/>
    <m/>
    <m/>
    <m/>
    <m/>
    <m/>
    <s v=""/>
    <s v=""/>
    <s v=""/>
    <n v="0"/>
    <s v=""/>
    <s v="Ya fue presentada"/>
    <m/>
    <m/>
    <m/>
    <m/>
    <m/>
    <m/>
  </r>
  <r>
    <x v="83"/>
    <x v="81"/>
    <n v="8966"/>
    <s v="Producción"/>
    <s v="Calificada"/>
    <n v="320000"/>
    <s v="N/A"/>
    <s v="A"/>
    <n v="0.05"/>
    <n v="0.05"/>
    <n v="0"/>
    <n v="0"/>
    <n v="0"/>
    <n v="2200"/>
    <s v="0"/>
    <n v="2200"/>
    <n v="1539.9999999999998"/>
    <n v="5940"/>
    <m/>
    <s v="Técnica G1"/>
    <s v="Media"/>
    <s v="Habladores para el uso responsable de la estopa"/>
    <s v="Apoyo con comunicaciónes,TH y ambiental, indicadores y campaña completa"/>
    <m/>
    <m/>
  </r>
  <r>
    <x v="83"/>
    <x v="81"/>
    <n v="8967"/>
    <s v="Producción"/>
    <s v="Descartada"/>
    <m/>
    <m/>
    <m/>
    <m/>
    <m/>
    <m/>
    <m/>
    <m/>
    <s v=""/>
    <s v=""/>
    <s v=""/>
    <n v="0"/>
    <s v=""/>
    <s v="09/12/2024 Operario pide una segunda revisión, prueba pendiente con espatula, no ha presentado video. Nunca envió evidencia, se descarta."/>
    <m/>
    <m/>
    <m/>
    <m/>
    <m/>
    <m/>
  </r>
  <r>
    <x v="83"/>
    <x v="81"/>
    <n v="8969"/>
    <s v="Producción"/>
    <s v="Descartada"/>
    <m/>
    <m/>
    <m/>
    <m/>
    <m/>
    <m/>
    <m/>
    <m/>
    <s v=""/>
    <s v=""/>
    <s v=""/>
    <n v="0"/>
    <s v=""/>
    <s v="09/12/2024 Metodo de secado con aire a presión, se descarta porque ya se hicieron pruebas Notificado"/>
    <m/>
    <m/>
    <m/>
    <m/>
    <m/>
    <m/>
  </r>
  <r>
    <x v="2"/>
    <x v="2"/>
    <n v="8970"/>
    <s v="Producción"/>
    <s v="Calificada"/>
    <n v="10000000"/>
    <s v="N/A"/>
    <s v="B"/>
    <n v="0"/>
    <n v="0.03"/>
    <n v="0"/>
    <n v="0.04"/>
    <n v="0"/>
    <n v="2200"/>
    <s v="0"/>
    <n v="1100"/>
    <n v="1077.9999999999998"/>
    <n v="4378"/>
    <m/>
    <s v="Técnica G2"/>
    <s v="Media"/>
    <s v="Sistema Andon"/>
    <s v="Desde MAP5S se había evaluado, pendiente presupuesto e implementación "/>
    <m/>
    <m/>
  </r>
  <r>
    <x v="2"/>
    <x v="2"/>
    <n v="8971"/>
    <s v="Producción"/>
    <s v="Descartada"/>
    <m/>
    <m/>
    <m/>
    <m/>
    <m/>
    <m/>
    <m/>
    <m/>
    <s v=""/>
    <s v=""/>
    <s v=""/>
    <n v="0"/>
    <s v=""/>
    <s v="9/12/2024 Notificado"/>
    <m/>
    <m/>
    <m/>
    <m/>
    <m/>
    <m/>
  </r>
  <r>
    <x v="68"/>
    <x v="67"/>
    <n v="7653"/>
    <s v="Producción"/>
    <s v="Calificada"/>
    <n v="10000000"/>
    <s v="N/A"/>
    <s v="B"/>
    <n v="0"/>
    <n v="0"/>
    <n v="0.1"/>
    <n v="0"/>
    <n v="0"/>
    <n v="2200"/>
    <s v="0"/>
    <n v="1100"/>
    <n v="1539.9999999999998"/>
    <n v="4840"/>
    <m/>
    <s v="Técnica G2"/>
    <s v="Alta"/>
    <s v="Banda transportadora para inyectora"/>
    <s v="Sujeta a cotización."/>
    <s v="Cristian Cardona"/>
    <s v="Sin empezar"/>
  </r>
  <r>
    <x v="2"/>
    <x v="2"/>
    <n v="8973"/>
    <s v="Producción"/>
    <s v="Descartada"/>
    <m/>
    <m/>
    <m/>
    <m/>
    <m/>
    <m/>
    <m/>
    <m/>
    <s v=""/>
    <s v=""/>
    <s v=""/>
    <n v="0"/>
    <s v=""/>
    <m/>
    <m/>
    <m/>
    <m/>
    <m/>
    <m/>
    <m/>
  </r>
  <r>
    <x v="2"/>
    <x v="2"/>
    <n v="8974"/>
    <s v="Producción"/>
    <s v="Calificada"/>
    <n v="0"/>
    <s v="&lt;=3"/>
    <s v="C"/>
    <n v="0"/>
    <n v="0.2"/>
    <n v="0"/>
    <n v="0"/>
    <n v="0"/>
    <n v="2200"/>
    <n v="2200"/>
    <n v="440.00000000000011"/>
    <n v="3079.9999999999995"/>
    <n v="7920"/>
    <m/>
    <s v="Técnica G1"/>
    <s v="No Viable"/>
    <s v="Reducción de mano de obra en flama"/>
    <s v="NA, esta situación ya se estaba abordando con el proyecto HQ y se espera cerrar con la implementación completa de este proyecto"/>
    <m/>
    <m/>
  </r>
  <r>
    <x v="84"/>
    <x v="82"/>
    <n v="9029"/>
    <s v="Producción"/>
    <s v="Calificada"/>
    <n v="1000000"/>
    <s v="N/A"/>
    <s v="A"/>
    <n v="0"/>
    <n v="7.0000000000000007E-2"/>
    <n v="0"/>
    <n v="0"/>
    <n v="0"/>
    <n v="2200"/>
    <s v="0"/>
    <n v="2200"/>
    <n v="1078"/>
    <n v="5478"/>
    <m/>
    <s v="Técnica G2"/>
    <s v="No Viable"/>
    <s v="Pistolas manuales para aire comprimido "/>
    <s v="Ya está en las zonas donde se requieren."/>
    <m/>
    <m/>
  </r>
  <r>
    <x v="12"/>
    <x v="12"/>
    <n v="9118"/>
    <s v="Producción"/>
    <s v="Descartada"/>
    <m/>
    <m/>
    <m/>
    <m/>
    <m/>
    <m/>
    <m/>
    <m/>
    <s v=""/>
    <s v=""/>
    <s v=""/>
    <n v="0"/>
    <s v=""/>
    <m/>
    <m/>
    <m/>
    <m/>
    <m/>
    <m/>
    <m/>
  </r>
  <r>
    <x v="21"/>
    <x v="21"/>
    <n v="9244"/>
    <s v="G.Técnica"/>
    <s v="Calificada"/>
    <n v="1000000"/>
    <s v="&gt;3&lt;=6"/>
    <s v="A"/>
    <n v="0"/>
    <n v="7.0000000000000007E-2"/>
    <n v="0.05"/>
    <n v="0"/>
    <n v="0"/>
    <n v="2200"/>
    <n v="1650.0000000000002"/>
    <n v="2200"/>
    <n v="1848"/>
    <n v="7898"/>
    <m/>
    <s v="Técnica G1"/>
    <s v="No Viable"/>
    <s v="Cepillo de cerdas suaves para evitar uso del aire comprimido"/>
    <s v="Esta condición sera corregida en subarashi cultura"/>
    <m/>
    <m/>
  </r>
  <r>
    <x v="85"/>
    <x v="83"/>
    <n v="9367"/>
    <s v="Producción"/>
    <s v="Descartada"/>
    <m/>
    <m/>
    <m/>
    <m/>
    <m/>
    <m/>
    <m/>
    <m/>
    <s v=""/>
    <s v=""/>
    <s v=""/>
    <n v="0"/>
    <s v=""/>
    <s v="07/01/2025 desde SST no se considera viable el aire comprimido para la limpieza del polietileno, al generar riesgo de afectación en la piel o en los ojos y también por temas de costos y consecuencias para la planta en el proceso productivo."/>
    <m/>
    <m/>
    <m/>
    <m/>
    <m/>
    <m/>
  </r>
  <r>
    <x v="52"/>
    <x v="52"/>
    <n v="9478"/>
    <s v="Logística"/>
    <s v="Descartada"/>
    <m/>
    <m/>
    <m/>
    <m/>
    <m/>
    <m/>
    <m/>
    <m/>
    <s v=""/>
    <s v=""/>
    <s v=""/>
    <n v="0"/>
    <s v=""/>
    <s v="Se requiere flexibilidad en las áreas."/>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F3D96-6A8F-4E55-B885-73EFD1AD3E4D}"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Nombre">
  <location ref="A1:C86" firstHeaderRow="0" firstDataRow="1" firstDataCol="1"/>
  <pivotFields count="25">
    <pivotField showAll="0">
      <items count="87">
        <item x="26"/>
        <item x="14"/>
        <item x="62"/>
        <item x="71"/>
        <item x="73"/>
        <item x="44"/>
        <item x="25"/>
        <item x="69"/>
        <item x="63"/>
        <item x="80"/>
        <item x="1"/>
        <item x="36"/>
        <item x="10"/>
        <item x="82"/>
        <item x="16"/>
        <item x="47"/>
        <item x="12"/>
        <item x="38"/>
        <item x="6"/>
        <item x="72"/>
        <item x="46"/>
        <item x="68"/>
        <item x="34"/>
        <item x="19"/>
        <item x="78"/>
        <item x="4"/>
        <item x="29"/>
        <item x="43"/>
        <item x="54"/>
        <item x="15"/>
        <item x="42"/>
        <item x="8"/>
        <item x="20"/>
        <item x="66"/>
        <item x="0"/>
        <item x="17"/>
        <item x="45"/>
        <item x="59"/>
        <item x="48"/>
        <item x="33"/>
        <item x="70"/>
        <item x="64"/>
        <item x="31"/>
        <item x="57"/>
        <item x="85"/>
        <item x="9"/>
        <item x="81"/>
        <item x="83"/>
        <item x="58"/>
        <item x="76"/>
        <item x="37"/>
        <item x="11"/>
        <item x="65"/>
        <item x="40"/>
        <item x="23"/>
        <item x="22"/>
        <item x="50"/>
        <item x="60"/>
        <item x="67"/>
        <item x="30"/>
        <item x="49"/>
        <item x="61"/>
        <item x="53"/>
        <item x="2"/>
        <item x="75"/>
        <item x="41"/>
        <item x="27"/>
        <item x="56"/>
        <item x="84"/>
        <item x="18"/>
        <item x="74"/>
        <item x="7"/>
        <item x="13"/>
        <item x="24"/>
        <item x="55"/>
        <item x="28"/>
        <item x="5"/>
        <item x="35"/>
        <item x="77"/>
        <item x="21"/>
        <item x="32"/>
        <item x="51"/>
        <item x="79"/>
        <item x="39"/>
        <item x="3"/>
        <item x="52"/>
        <item t="default"/>
      </items>
    </pivotField>
    <pivotField axis="axisRow" dataField="1" showAll="0" sortType="descending">
      <items count="93">
        <item m="1" x="90"/>
        <item m="1" x="88"/>
        <item x="53"/>
        <item x="82"/>
        <item x="25"/>
        <item x="7"/>
        <item m="1" x="85"/>
        <item x="5"/>
        <item x="27"/>
        <item x="76"/>
        <item x="35"/>
        <item x="79"/>
        <item x="39"/>
        <item x="49"/>
        <item x="10"/>
        <item x="17"/>
        <item x="20"/>
        <item x="12"/>
        <item x="34"/>
        <item x="47"/>
        <item m="1" x="89"/>
        <item x="33"/>
        <item x="57"/>
        <item x="37"/>
        <item x="41"/>
        <item x="51"/>
        <item x="29"/>
        <item x="70"/>
        <item x="38"/>
        <item x="58"/>
        <item x="4"/>
        <item x="19"/>
        <item x="71"/>
        <item x="52"/>
        <item x="83"/>
        <item x="48"/>
        <item x="6"/>
        <item x="44"/>
        <item x="55"/>
        <item x="63"/>
        <item x="16"/>
        <item x="2"/>
        <item x="42"/>
        <item x="13"/>
        <item m="1" x="86"/>
        <item x="0"/>
        <item x="46"/>
        <item x="15"/>
        <item m="1" x="91"/>
        <item x="80"/>
        <item x="18"/>
        <item x="81"/>
        <item x="69"/>
        <item x="32"/>
        <item x="45"/>
        <item x="31"/>
        <item x="50"/>
        <item x="74"/>
        <item x="73"/>
        <item x="21"/>
        <item x="14"/>
        <item x="36"/>
        <item x="77"/>
        <item x="9"/>
        <item x="11"/>
        <item x="72"/>
        <item x="23"/>
        <item x="61"/>
        <item x="59"/>
        <item m="1" x="84"/>
        <item x="54"/>
        <item x="67"/>
        <item x="62"/>
        <item x="28"/>
        <item x="68"/>
        <item x="64"/>
        <item x="40"/>
        <item x="78"/>
        <item x="56"/>
        <item x="24"/>
        <item x="26"/>
        <item x="66"/>
        <item x="75"/>
        <item x="43"/>
        <item x="22"/>
        <item x="65"/>
        <item x="3"/>
        <item x="1"/>
        <item x="60"/>
        <item x="8"/>
        <item x="30"/>
        <item m="1" x="8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85">
    <i>
      <x v="59"/>
    </i>
    <i>
      <x v="74"/>
    </i>
    <i>
      <x v="84"/>
    </i>
    <i>
      <x v="41"/>
    </i>
    <i>
      <x v="43"/>
    </i>
    <i>
      <x v="47"/>
    </i>
    <i>
      <x v="79"/>
    </i>
    <i>
      <x v="15"/>
    </i>
    <i>
      <x v="9"/>
    </i>
    <i>
      <x v="36"/>
    </i>
    <i>
      <x v="4"/>
    </i>
    <i>
      <x v="78"/>
    </i>
    <i>
      <x v="85"/>
    </i>
    <i>
      <x v="77"/>
    </i>
    <i>
      <x v="68"/>
    </i>
    <i>
      <x v="30"/>
    </i>
    <i>
      <x v="42"/>
    </i>
    <i>
      <x v="29"/>
    </i>
    <i>
      <x v="32"/>
    </i>
    <i>
      <x v="17"/>
    </i>
    <i>
      <x v="14"/>
    </i>
    <i>
      <x v="58"/>
    </i>
    <i>
      <x v="89"/>
    </i>
    <i>
      <x v="21"/>
    </i>
    <i>
      <x v="73"/>
    </i>
    <i>
      <x v="70"/>
    </i>
    <i>
      <x v="18"/>
    </i>
    <i>
      <x v="37"/>
    </i>
    <i>
      <x v="60"/>
    </i>
    <i>
      <x v="51"/>
    </i>
    <i>
      <x v="83"/>
    </i>
    <i>
      <x v="39"/>
    </i>
    <i>
      <x v="49"/>
    </i>
    <i>
      <x v="88"/>
    </i>
    <i>
      <x v="3"/>
    </i>
    <i>
      <x v="7"/>
    </i>
    <i>
      <x v="52"/>
    </i>
    <i>
      <x v="10"/>
    </i>
    <i>
      <x v="8"/>
    </i>
    <i>
      <x v="64"/>
    </i>
    <i>
      <x v="71"/>
    </i>
    <i>
      <x v="63"/>
    </i>
    <i>
      <x v="53"/>
    </i>
    <i>
      <x v="75"/>
    </i>
    <i>
      <x v="5"/>
    </i>
    <i>
      <x v="81"/>
    </i>
    <i>
      <x v="55"/>
    </i>
    <i>
      <x v="19"/>
    </i>
    <i>
      <x v="22"/>
    </i>
    <i>
      <x v="16"/>
    </i>
    <i>
      <x v="54"/>
    </i>
    <i>
      <x v="12"/>
    </i>
    <i>
      <x v="25"/>
    </i>
    <i>
      <x v="90"/>
    </i>
    <i>
      <x v="26"/>
    </i>
    <i>
      <x v="50"/>
    </i>
    <i>
      <x v="87"/>
    </i>
    <i>
      <x v="24"/>
    </i>
    <i>
      <x v="31"/>
    </i>
    <i>
      <x v="28"/>
    </i>
    <i>
      <x v="40"/>
    </i>
    <i>
      <x v="34"/>
    </i>
    <i>
      <x v="13"/>
    </i>
    <i>
      <x v="72"/>
    </i>
    <i>
      <x v="61"/>
    </i>
    <i>
      <x v="35"/>
    </i>
    <i>
      <x v="62"/>
    </i>
    <i>
      <x v="76"/>
    </i>
    <i>
      <x v="11"/>
    </i>
    <i>
      <x v="23"/>
    </i>
    <i>
      <x v="33"/>
    </i>
    <i>
      <x v="80"/>
    </i>
    <i>
      <x v="65"/>
    </i>
    <i>
      <x v="82"/>
    </i>
    <i>
      <x v="66"/>
    </i>
    <i>
      <x v="38"/>
    </i>
    <i>
      <x v="67"/>
    </i>
    <i>
      <x v="86"/>
    </i>
    <i>
      <x v="56"/>
    </i>
    <i>
      <x v="27"/>
    </i>
    <i>
      <x v="57"/>
    </i>
    <i>
      <x v="45"/>
    </i>
    <i>
      <x v="2"/>
    </i>
    <i>
      <x v="46"/>
    </i>
    <i t="grand">
      <x/>
    </i>
  </rowItems>
  <colFields count="1">
    <field x="-2"/>
  </colFields>
  <colItems count="2">
    <i>
      <x/>
    </i>
    <i i="1">
      <x v="1"/>
    </i>
  </colItems>
  <dataFields count="2">
    <dataField name="Cantidad Ideas" fld="1" subtotal="count" baseField="0" baseItem="0"/>
    <dataField name="Suma de Puntos" fld="17" baseField="1" baseItem="0"/>
  </dataFields>
  <formats count="103">
    <format dxfId="4">
      <pivotArea dataOnly="0" labelOnly="1" outline="0" fieldPosition="0">
        <references count="1">
          <reference field="4294967294" count="1">
            <x v="1"/>
          </reference>
        </references>
      </pivotArea>
    </format>
    <format dxfId="5">
      <pivotArea dataOnly="0" labelOnly="1" outline="0" fieldPosition="0">
        <references count="1">
          <reference field="4294967294" count="1">
            <x v="0"/>
          </reference>
        </references>
      </pivotArea>
    </format>
    <format dxfId="6">
      <pivotArea dataOnly="0" labelOnly="1" grandRow="1" outline="0" fieldPosition="0"/>
    </format>
    <format dxfId="7">
      <pivotArea collapsedLevelsAreSubtotals="1" fieldPosition="0">
        <references count="1">
          <reference field="1" count="1">
            <x v="43"/>
          </reference>
        </references>
      </pivotArea>
    </format>
    <format dxfId="8">
      <pivotArea dataOnly="0" labelOnly="1" fieldPosition="0">
        <references count="1">
          <reference field="1" count="1">
            <x v="43"/>
          </reference>
        </references>
      </pivotArea>
    </format>
    <format dxfId="9">
      <pivotArea collapsedLevelsAreSubtotals="1" fieldPosition="0">
        <references count="1">
          <reference field="1" count="1">
            <x v="79"/>
          </reference>
        </references>
      </pivotArea>
    </format>
    <format dxfId="10">
      <pivotArea dataOnly="0" labelOnly="1" fieldPosition="0">
        <references count="1">
          <reference field="1" count="1">
            <x v="79"/>
          </reference>
        </references>
      </pivotArea>
    </format>
    <format dxfId="11">
      <pivotArea dataOnly="0" labelOnly="1" fieldPosition="0">
        <references count="1">
          <reference field="1" count="1">
            <x v="21"/>
          </reference>
        </references>
      </pivotArea>
    </format>
    <format dxfId="12">
      <pivotArea collapsedLevelsAreSubtotals="1" fieldPosition="0">
        <references count="1">
          <reference field="1" count="1">
            <x v="39"/>
          </reference>
        </references>
      </pivotArea>
    </format>
    <format dxfId="13">
      <pivotArea dataOnly="0" labelOnly="1" fieldPosition="0">
        <references count="1">
          <reference field="1" count="1">
            <x v="39"/>
          </reference>
        </references>
      </pivotArea>
    </format>
    <format dxfId="14">
      <pivotArea collapsedLevelsAreSubtotals="1" fieldPosition="0">
        <references count="1">
          <reference field="1" count="1">
            <x v="47"/>
          </reference>
        </references>
      </pivotArea>
    </format>
    <format dxfId="15">
      <pivotArea dataOnly="0" labelOnly="1" fieldPosition="0">
        <references count="1">
          <reference field="1" count="1">
            <x v="47"/>
          </reference>
        </references>
      </pivotArea>
    </format>
    <format dxfId="16">
      <pivotArea collapsedLevelsAreSubtotals="1" fieldPosition="0">
        <references count="1">
          <reference field="1" count="1">
            <x v="10"/>
          </reference>
        </references>
      </pivotArea>
    </format>
    <format dxfId="17">
      <pivotArea dataOnly="0" labelOnly="1" fieldPosition="0">
        <references count="1">
          <reference field="1" count="1">
            <x v="10"/>
          </reference>
        </references>
      </pivotArea>
    </format>
    <format dxfId="18">
      <pivotArea collapsedLevelsAreSubtotals="1" fieldPosition="0">
        <references count="1">
          <reference field="1" count="1">
            <x v="75"/>
          </reference>
        </references>
      </pivotArea>
    </format>
    <format dxfId="19">
      <pivotArea dataOnly="0" labelOnly="1" fieldPosition="0">
        <references count="1">
          <reference field="1" count="1">
            <x v="75"/>
          </reference>
        </references>
      </pivotArea>
    </format>
    <format dxfId="20">
      <pivotArea collapsedLevelsAreSubtotals="1" fieldPosition="0">
        <references count="1">
          <reference field="1" count="1">
            <x v="84"/>
          </reference>
        </references>
      </pivotArea>
    </format>
    <format dxfId="21">
      <pivotArea dataOnly="0" labelOnly="1" fieldPosition="0">
        <references count="1">
          <reference field="1" count="1">
            <x v="84"/>
          </reference>
        </references>
      </pivotArea>
    </format>
    <format dxfId="22">
      <pivotArea collapsedLevelsAreSubtotals="1" fieldPosition="0">
        <references count="1">
          <reference field="1" count="1">
            <x v="19"/>
          </reference>
        </references>
      </pivotArea>
    </format>
    <format dxfId="23">
      <pivotArea dataOnly="0" labelOnly="1" fieldPosition="0">
        <references count="1">
          <reference field="1" count="1">
            <x v="19"/>
          </reference>
        </references>
      </pivotArea>
    </format>
    <format dxfId="24">
      <pivotArea collapsedLevelsAreSubtotals="1" fieldPosition="0">
        <references count="1">
          <reference field="1" count="1">
            <x v="16"/>
          </reference>
        </references>
      </pivotArea>
    </format>
    <format dxfId="25">
      <pivotArea dataOnly="0" labelOnly="1" fieldPosition="0">
        <references count="1">
          <reference field="1" count="1">
            <x v="16"/>
          </reference>
        </references>
      </pivotArea>
    </format>
    <format dxfId="26">
      <pivotArea collapsedLevelsAreSubtotals="1" fieldPosition="0">
        <references count="1">
          <reference field="1" count="1">
            <x v="59"/>
          </reference>
        </references>
      </pivotArea>
    </format>
    <format dxfId="27">
      <pivotArea dataOnly="0" labelOnly="1" fieldPosition="0">
        <references count="1">
          <reference field="1" count="1">
            <x v="59"/>
          </reference>
        </references>
      </pivotArea>
    </format>
    <format dxfId="28">
      <pivotArea collapsedLevelsAreSubtotals="1" fieldPosition="0">
        <references count="1">
          <reference field="1" count="1">
            <x v="57"/>
          </reference>
        </references>
      </pivotArea>
    </format>
    <format dxfId="29">
      <pivotArea dataOnly="0" labelOnly="1" fieldPosition="0">
        <references count="1">
          <reference field="1" count="1">
            <x v="57"/>
          </reference>
        </references>
      </pivotArea>
    </format>
    <format dxfId="30">
      <pivotArea collapsedLevelsAreSubtotals="1" fieldPosition="0">
        <references count="1">
          <reference field="1" count="1">
            <x v="26"/>
          </reference>
        </references>
      </pivotArea>
    </format>
    <format dxfId="31">
      <pivotArea dataOnly="0" labelOnly="1" fieldPosition="0">
        <references count="1">
          <reference field="1" count="1">
            <x v="26"/>
          </reference>
        </references>
      </pivotArea>
    </format>
    <format dxfId="32">
      <pivotArea collapsedLevelsAreSubtotals="1" fieldPosition="0">
        <references count="1">
          <reference field="1" count="1">
            <x v="80"/>
          </reference>
        </references>
      </pivotArea>
    </format>
    <format dxfId="33">
      <pivotArea dataOnly="0" labelOnly="1" fieldPosition="0">
        <references count="1">
          <reference field="1" count="1">
            <x v="80"/>
          </reference>
        </references>
      </pivotArea>
    </format>
    <format dxfId="34">
      <pivotArea collapsedLevelsAreSubtotals="1" fieldPosition="0">
        <references count="1">
          <reference field="1" count="1">
            <x v="85"/>
          </reference>
        </references>
      </pivotArea>
    </format>
    <format dxfId="35">
      <pivotArea dataOnly="0" labelOnly="1" fieldPosition="0">
        <references count="1">
          <reference field="1" count="1">
            <x v="85"/>
          </reference>
        </references>
      </pivotArea>
    </format>
    <format dxfId="36">
      <pivotArea collapsedLevelsAreSubtotals="1" fieldPosition="0">
        <references count="1">
          <reference field="1" count="1">
            <x v="56"/>
          </reference>
        </references>
      </pivotArea>
    </format>
    <format dxfId="37">
      <pivotArea dataOnly="0" labelOnly="1" fieldPosition="0">
        <references count="1">
          <reference field="1" count="1">
            <x v="56"/>
          </reference>
        </references>
      </pivotArea>
    </format>
    <format dxfId="38">
      <pivotArea collapsedLevelsAreSubtotals="1" fieldPosition="0">
        <references count="1">
          <reference field="1" count="1">
            <x v="76"/>
          </reference>
        </references>
      </pivotArea>
    </format>
    <format dxfId="39">
      <pivotArea dataOnly="0" labelOnly="1" fieldPosition="0">
        <references count="1">
          <reference field="1" count="1">
            <x v="76"/>
          </reference>
        </references>
      </pivotArea>
    </format>
    <format dxfId="40">
      <pivotArea collapsedLevelsAreSubtotals="1" fieldPosition="0">
        <references count="1">
          <reference field="1" count="1">
            <x v="36"/>
          </reference>
        </references>
      </pivotArea>
    </format>
    <format dxfId="41">
      <pivotArea dataOnly="0" labelOnly="1" fieldPosition="0">
        <references count="1">
          <reference field="1" count="1">
            <x v="36"/>
          </reference>
        </references>
      </pivotArea>
    </format>
    <format dxfId="42">
      <pivotArea collapsedLevelsAreSubtotals="1" fieldPosition="0">
        <references count="1">
          <reference field="1" count="1">
            <x v="73"/>
          </reference>
        </references>
      </pivotArea>
    </format>
    <format dxfId="43">
      <pivotArea dataOnly="0" labelOnly="1" fieldPosition="0">
        <references count="1">
          <reference field="1" count="1">
            <x v="73"/>
          </reference>
        </references>
      </pivotArea>
    </format>
    <format dxfId="44">
      <pivotArea collapsedLevelsAreSubtotals="1" fieldPosition="0">
        <references count="1">
          <reference field="1" count="1">
            <x v="86"/>
          </reference>
        </references>
      </pivotArea>
    </format>
    <format dxfId="45">
      <pivotArea dataOnly="0" labelOnly="1" fieldPosition="0">
        <references count="1">
          <reference field="1" count="1">
            <x v="86"/>
          </reference>
        </references>
      </pivotArea>
    </format>
    <format dxfId="46">
      <pivotArea collapsedLevelsAreSubtotals="1" fieldPosition="0">
        <references count="1">
          <reference field="1" count="1">
            <x v="13"/>
          </reference>
        </references>
      </pivotArea>
    </format>
    <format dxfId="47">
      <pivotArea collapsedLevelsAreSubtotals="1" fieldPosition="0">
        <references count="1">
          <reference field="1" count="1">
            <x v="28"/>
          </reference>
        </references>
      </pivotArea>
    </format>
    <format dxfId="48">
      <pivotArea collapsedLevelsAreSubtotals="1" fieldPosition="0">
        <references count="1">
          <reference field="1" count="1">
            <x v="61"/>
          </reference>
        </references>
      </pivotArea>
    </format>
    <format dxfId="49">
      <pivotArea collapsedLevelsAreSubtotals="1" fieldPosition="0">
        <references count="1">
          <reference field="1" count="1">
            <x v="12"/>
          </reference>
        </references>
      </pivotArea>
    </format>
    <format dxfId="50">
      <pivotArea collapsedLevelsAreSubtotals="1" fieldPosition="0">
        <references count="1">
          <reference field="1" count="1">
            <x v="23"/>
          </reference>
        </references>
      </pivotArea>
    </format>
    <format dxfId="51">
      <pivotArea dataOnly="0" labelOnly="1" fieldPosition="0">
        <references count="1">
          <reference field="1" count="1">
            <x v="81"/>
          </reference>
        </references>
      </pivotArea>
    </format>
    <format dxfId="52">
      <pivotArea collapsedLevelsAreSubtotals="1" fieldPosition="0">
        <references count="2">
          <reference field="4294967294" count="1" selected="0">
            <x v="1"/>
          </reference>
          <reference field="1" count="1">
            <x v="59"/>
          </reference>
        </references>
      </pivotArea>
    </format>
    <format dxfId="53">
      <pivotArea collapsedLevelsAreSubtotals="1" fieldPosition="0">
        <references count="2">
          <reference field="4294967294" count="1" selected="0">
            <x v="1"/>
          </reference>
          <reference field="1" count="1">
            <x v="84"/>
          </reference>
        </references>
      </pivotArea>
    </format>
    <format dxfId="54">
      <pivotArea collapsedLevelsAreSubtotals="1" fieldPosition="0">
        <references count="2">
          <reference field="4294967294" count="1" selected="0">
            <x v="1"/>
          </reference>
          <reference field="1" count="80">
            <x v="2"/>
            <x v="3"/>
            <x v="4"/>
            <x v="5"/>
            <x v="7"/>
            <x v="8"/>
            <x v="9"/>
            <x v="10"/>
            <x v="11"/>
            <x v="12"/>
            <x v="13"/>
            <x v="14"/>
            <x v="15"/>
            <x v="16"/>
            <x v="17"/>
            <x v="18"/>
            <x v="19"/>
            <x v="21"/>
            <x v="22"/>
            <x v="23"/>
            <x v="24"/>
            <x v="25"/>
            <x v="26"/>
            <x v="27"/>
            <x v="28"/>
            <x v="29"/>
            <x v="30"/>
            <x v="31"/>
            <x v="32"/>
            <x v="33"/>
            <x v="34"/>
            <x v="35"/>
            <x v="36"/>
            <x v="37"/>
            <x v="38"/>
            <x v="39"/>
            <x v="40"/>
            <x v="42"/>
            <x v="43"/>
            <x v="45"/>
            <x v="46"/>
            <x v="47"/>
            <x v="49"/>
            <x v="50"/>
            <x v="51"/>
            <x v="52"/>
            <x v="53"/>
            <x v="54"/>
            <x v="55"/>
            <x v="56"/>
            <x v="57"/>
            <x v="58"/>
            <x v="60"/>
            <x v="61"/>
            <x v="62"/>
            <x v="63"/>
            <x v="64"/>
            <x v="65"/>
            <x v="66"/>
            <x v="67"/>
            <x v="68"/>
            <x v="70"/>
            <x v="71"/>
            <x v="72"/>
            <x v="73"/>
            <x v="75"/>
            <x v="76"/>
            <x v="77"/>
            <x v="78"/>
            <x v="79"/>
            <x v="80"/>
            <x v="81"/>
            <x v="82"/>
            <x v="83"/>
            <x v="85"/>
            <x v="86"/>
            <x v="87"/>
            <x v="88"/>
            <x v="89"/>
            <x v="90"/>
          </reference>
        </references>
      </pivotArea>
    </format>
    <format dxfId="55">
      <pivotArea dataOnly="0" labelOnly="1" fieldPosition="0">
        <references count="1">
          <reference field="1" count="1">
            <x v="51"/>
          </reference>
        </references>
      </pivotArea>
    </format>
    <format dxfId="56">
      <pivotArea dataOnly="0" labelOnly="1" fieldPosition="0">
        <references count="1">
          <reference field="1" count="1">
            <x v="5"/>
          </reference>
        </references>
      </pivotArea>
    </format>
    <format dxfId="57">
      <pivotArea dataOnly="0" labelOnly="1" fieldPosition="0">
        <references count="1">
          <reference field="1" count="1">
            <x v="40"/>
          </reference>
        </references>
      </pivotArea>
    </format>
    <format dxfId="58">
      <pivotArea dataOnly="0" labelOnly="1" fieldPosition="0">
        <references count="1">
          <reference field="1" count="1">
            <x v="64"/>
          </reference>
        </references>
      </pivotArea>
    </format>
    <format dxfId="59">
      <pivotArea dataOnly="0" labelOnly="1" fieldPosition="0">
        <references count="1">
          <reference field="1" count="1">
            <x v="27"/>
          </reference>
        </references>
      </pivotArea>
    </format>
    <format dxfId="60">
      <pivotArea dataOnly="0" labelOnly="1" fieldPosition="0">
        <references count="1">
          <reference field="1" count="1">
            <x v="71"/>
          </reference>
        </references>
      </pivotArea>
    </format>
    <format dxfId="61">
      <pivotArea dataOnly="0" labelOnly="1" fieldPosition="0">
        <references count="1">
          <reference field="1" count="1">
            <x v="18"/>
          </reference>
        </references>
      </pivotArea>
    </format>
    <format dxfId="62">
      <pivotArea dataOnly="0" labelOnly="1" fieldPosition="0">
        <references count="1">
          <reference field="1" count="1">
            <x v="14"/>
          </reference>
        </references>
      </pivotArea>
    </format>
    <format dxfId="63">
      <pivotArea dataOnly="0" labelOnly="1" fieldPosition="0">
        <references count="1">
          <reference field="1" count="1">
            <x v="49"/>
          </reference>
        </references>
      </pivotArea>
    </format>
    <format dxfId="64">
      <pivotArea dataOnly="0" labelOnly="1" fieldPosition="0">
        <references count="1">
          <reference field="1" count="1">
            <x v="38"/>
          </reference>
        </references>
      </pivotArea>
    </format>
    <format dxfId="65">
      <pivotArea dataOnly="0" labelOnly="1" fieldPosition="0">
        <references count="1">
          <reference field="1" count="1">
            <x v="41"/>
          </reference>
        </references>
      </pivotArea>
    </format>
    <format dxfId="66">
      <pivotArea dataOnly="0" labelOnly="1" fieldPosition="0">
        <references count="1">
          <reference field="1" count="1">
            <x v="65"/>
          </reference>
        </references>
      </pivotArea>
    </format>
    <format dxfId="67">
      <pivotArea dataOnly="0" labelOnly="1" fieldPosition="0">
        <references count="1">
          <reference field="1" count="1">
            <x v="58"/>
          </reference>
        </references>
      </pivotArea>
    </format>
    <format dxfId="68">
      <pivotArea dataOnly="0" labelOnly="1" fieldPosition="0">
        <references count="1">
          <reference field="1" count="1">
            <x v="3"/>
          </reference>
        </references>
      </pivotArea>
    </format>
    <format dxfId="69">
      <pivotArea dataOnly="0" labelOnly="1" fieldPosition="0">
        <references count="1">
          <reference field="1" count="1">
            <x v="35"/>
          </reference>
        </references>
      </pivotArea>
    </format>
    <format dxfId="70">
      <pivotArea dataOnly="0" labelOnly="1" fieldPosition="0">
        <references count="1">
          <reference field="1" count="1">
            <x v="78"/>
          </reference>
        </references>
      </pivotArea>
    </format>
    <format dxfId="71">
      <pivotArea dataOnly="0" labelOnly="1" fieldPosition="0">
        <references count="1">
          <reference field="1" count="1">
            <x v="88"/>
          </reference>
        </references>
      </pivotArea>
    </format>
    <format dxfId="72">
      <pivotArea dataOnly="0" labelOnly="1" fieldPosition="0">
        <references count="1">
          <reference field="1" count="1">
            <x v="70"/>
          </reference>
        </references>
      </pivotArea>
    </format>
    <format dxfId="73">
      <pivotArea dataOnly="0" labelOnly="1" fieldPosition="0">
        <references count="1">
          <reference field="1" count="1">
            <x v="4"/>
          </reference>
        </references>
      </pivotArea>
    </format>
    <format dxfId="74">
      <pivotArea dataOnly="0" labelOnly="1" fieldPosition="0">
        <references count="1">
          <reference field="1" count="1">
            <x v="50"/>
          </reference>
        </references>
      </pivotArea>
    </format>
    <format dxfId="75">
      <pivotArea dataOnly="0" labelOnly="1" fieldPosition="0">
        <references count="1">
          <reference field="1" count="1">
            <x v="15"/>
          </reference>
        </references>
      </pivotArea>
    </format>
    <format dxfId="76">
      <pivotArea dataOnly="0" labelOnly="1" fieldPosition="0">
        <references count="1">
          <reference field="1" count="1">
            <x v="74"/>
          </reference>
        </references>
      </pivotArea>
    </format>
    <format dxfId="77">
      <pivotArea dataOnly="0" labelOnly="1" fieldPosition="0">
        <references count="1">
          <reference field="1" count="1">
            <x v="9"/>
          </reference>
        </references>
      </pivotArea>
    </format>
    <format dxfId="78">
      <pivotArea dataOnly="0" labelOnly="1" fieldPosition="0">
        <references count="1">
          <reference field="1" count="1">
            <x v="77"/>
          </reference>
        </references>
      </pivotArea>
    </format>
    <format dxfId="79">
      <pivotArea dataOnly="0" labelOnly="1" fieldPosition="0">
        <references count="1">
          <reference field="1" count="1">
            <x v="42"/>
          </reference>
        </references>
      </pivotArea>
    </format>
    <format dxfId="80">
      <pivotArea dataOnly="0" labelOnly="1" fieldPosition="0">
        <references count="1">
          <reference field="1" count="1">
            <x v="32"/>
          </reference>
        </references>
      </pivotArea>
    </format>
    <format dxfId="81">
      <pivotArea dataOnly="0" labelOnly="1" fieldPosition="0">
        <references count="1">
          <reference field="1" count="1">
            <x v="83"/>
          </reference>
        </references>
      </pivotArea>
    </format>
    <format dxfId="82">
      <pivotArea dataOnly="0" labelOnly="1" fieldPosition="0">
        <references count="1">
          <reference field="1" count="1">
            <x v="63"/>
          </reference>
        </references>
      </pivotArea>
    </format>
    <format dxfId="83">
      <pivotArea dataOnly="0" labelOnly="1" fieldPosition="0">
        <references count="1">
          <reference field="1" count="1">
            <x v="34"/>
          </reference>
        </references>
      </pivotArea>
    </format>
    <format dxfId="84">
      <pivotArea dataOnly="0" labelOnly="1" fieldPosition="0">
        <references count="1">
          <reference field="1" count="1">
            <x v="72"/>
          </reference>
        </references>
      </pivotArea>
    </format>
    <format dxfId="85">
      <pivotArea dataOnly="0" labelOnly="1" fieldPosition="0">
        <references count="1">
          <reference field="1" count="1">
            <x v="62"/>
          </reference>
        </references>
      </pivotArea>
    </format>
    <format dxfId="86">
      <pivotArea dataOnly="0" labelOnly="1" fieldPosition="0">
        <references count="1">
          <reference field="1" count="1">
            <x v="11"/>
          </reference>
        </references>
      </pivotArea>
    </format>
    <format dxfId="87">
      <pivotArea dataOnly="0" labelOnly="1" fieldPosition="0">
        <references count="1">
          <reference field="1" count="1">
            <x v="82"/>
          </reference>
        </references>
      </pivotArea>
    </format>
    <format dxfId="88">
      <pivotArea dataOnly="0" labelOnly="1" fieldPosition="0">
        <references count="1">
          <reference field="1" count="1">
            <x v="46"/>
          </reference>
        </references>
      </pivotArea>
    </format>
    <format dxfId="89">
      <pivotArea dataOnly="0" labelOnly="1" fieldPosition="0">
        <references count="1">
          <reference field="1" count="1">
            <x v="2"/>
          </reference>
        </references>
      </pivotArea>
    </format>
    <format dxfId="90">
      <pivotArea dataOnly="0" labelOnly="1" fieldPosition="0">
        <references count="1">
          <reference field="1" count="1">
            <x v="17"/>
          </reference>
        </references>
      </pivotArea>
    </format>
    <format dxfId="91">
      <pivotArea dataOnly="0" labelOnly="1" fieldPosition="0">
        <references count="1">
          <reference field="1" count="4">
            <x v="41"/>
            <x v="59"/>
            <x v="74"/>
            <x v="84"/>
          </reference>
        </references>
      </pivotArea>
    </format>
    <format dxfId="92">
      <pivotArea dataOnly="0" labelOnly="1" fieldPosition="0">
        <references count="1">
          <reference field="1" count="1">
            <x v="47"/>
          </reference>
        </references>
      </pivotArea>
    </format>
    <format dxfId="93">
      <pivotArea dataOnly="0" labelOnly="1" fieldPosition="0">
        <references count="1">
          <reference field="1" count="4">
            <x v="4"/>
            <x v="9"/>
            <x v="15"/>
            <x v="36"/>
          </reference>
        </references>
      </pivotArea>
    </format>
    <format dxfId="94">
      <pivotArea dataOnly="0" labelOnly="1" fieldPosition="0">
        <references count="1">
          <reference field="1" count="11">
            <x v="14"/>
            <x v="17"/>
            <x v="29"/>
            <x v="30"/>
            <x v="32"/>
            <x v="42"/>
            <x v="58"/>
            <x v="68"/>
            <x v="77"/>
            <x v="85"/>
            <x v="89"/>
          </reference>
        </references>
      </pivotArea>
    </format>
    <format dxfId="95">
      <pivotArea dataOnly="0" labelOnly="1" fieldPosition="0">
        <references count="1">
          <reference field="1" count="1">
            <x v="73"/>
          </reference>
        </references>
      </pivotArea>
    </format>
    <format dxfId="96">
      <pivotArea dataOnly="0" labelOnly="1" fieldPosition="0">
        <references count="1">
          <reference field="1" count="19">
            <x v="3"/>
            <x v="5"/>
            <x v="7"/>
            <x v="8"/>
            <x v="10"/>
            <x v="18"/>
            <x v="37"/>
            <x v="39"/>
            <x v="49"/>
            <x v="51"/>
            <x v="52"/>
            <x v="53"/>
            <x v="60"/>
            <x v="63"/>
            <x v="64"/>
            <x v="71"/>
            <x v="75"/>
            <x v="83"/>
            <x v="88"/>
          </reference>
        </references>
      </pivotArea>
    </format>
    <format dxfId="97">
      <pivotArea dataOnly="0" labelOnly="1" fieldPosition="0">
        <references count="1">
          <reference field="1" count="8">
            <x v="12"/>
            <x v="16"/>
            <x v="19"/>
            <x v="22"/>
            <x v="25"/>
            <x v="54"/>
            <x v="55"/>
            <x v="90"/>
          </reference>
        </references>
      </pivotArea>
    </format>
    <format dxfId="98">
      <pivotArea dataOnly="0" labelOnly="1" fieldPosition="0">
        <references count="1">
          <reference field="1" count="10">
            <x v="13"/>
            <x v="24"/>
            <x v="28"/>
            <x v="31"/>
            <x v="34"/>
            <x v="40"/>
            <x v="50"/>
            <x v="61"/>
            <x v="72"/>
            <x v="87"/>
          </reference>
        </references>
      </pivotArea>
    </format>
    <format dxfId="99">
      <pivotArea dataOnly="0" labelOnly="1" fieldPosition="0">
        <references count="1">
          <reference field="1" count="18">
            <x v="2"/>
            <x v="11"/>
            <x v="23"/>
            <x v="27"/>
            <x v="33"/>
            <x v="38"/>
            <x v="45"/>
            <x v="46"/>
            <x v="56"/>
            <x v="57"/>
            <x v="62"/>
            <x v="65"/>
            <x v="66"/>
            <x v="67"/>
            <x v="76"/>
            <x v="80"/>
            <x v="82"/>
            <x v="86"/>
          </reference>
        </references>
      </pivotArea>
    </format>
    <format dxfId="100">
      <pivotArea type="all" dataOnly="0" outline="0" fieldPosition="0"/>
    </format>
    <format dxfId="101">
      <pivotArea outline="0" collapsedLevelsAreSubtotals="1" fieldPosition="0"/>
    </format>
    <format dxfId="102">
      <pivotArea field="1" type="button" dataOnly="0" labelOnly="1" outline="0" axis="axisRow" fieldPosition="0"/>
    </format>
    <format dxfId="103">
      <pivotArea dataOnly="0" labelOnly="1" fieldPosition="0">
        <references count="1">
          <reference field="1" count="50">
            <x v="3"/>
            <x v="4"/>
            <x v="5"/>
            <x v="7"/>
            <x v="8"/>
            <x v="9"/>
            <x v="10"/>
            <x v="14"/>
            <x v="15"/>
            <x v="16"/>
            <x v="17"/>
            <x v="18"/>
            <x v="19"/>
            <x v="21"/>
            <x v="22"/>
            <x v="29"/>
            <x v="30"/>
            <x v="32"/>
            <x v="36"/>
            <x v="37"/>
            <x v="39"/>
            <x v="41"/>
            <x v="42"/>
            <x v="43"/>
            <x v="47"/>
            <x v="49"/>
            <x v="51"/>
            <x v="52"/>
            <x v="53"/>
            <x v="55"/>
            <x v="58"/>
            <x v="59"/>
            <x v="60"/>
            <x v="63"/>
            <x v="64"/>
            <x v="68"/>
            <x v="70"/>
            <x v="71"/>
            <x v="73"/>
            <x v="74"/>
            <x v="75"/>
            <x v="77"/>
            <x v="78"/>
            <x v="79"/>
            <x v="81"/>
            <x v="83"/>
            <x v="84"/>
            <x v="85"/>
            <x v="88"/>
            <x v="89"/>
          </reference>
        </references>
      </pivotArea>
    </format>
    <format dxfId="104">
      <pivotArea dataOnly="0" labelOnly="1" fieldPosition="0">
        <references count="1">
          <reference field="1" count="34">
            <x v="2"/>
            <x v="11"/>
            <x v="12"/>
            <x v="13"/>
            <x v="23"/>
            <x v="24"/>
            <x v="25"/>
            <x v="26"/>
            <x v="27"/>
            <x v="28"/>
            <x v="31"/>
            <x v="33"/>
            <x v="34"/>
            <x v="35"/>
            <x v="38"/>
            <x v="40"/>
            <x v="45"/>
            <x v="46"/>
            <x v="50"/>
            <x v="54"/>
            <x v="56"/>
            <x v="57"/>
            <x v="61"/>
            <x v="62"/>
            <x v="65"/>
            <x v="66"/>
            <x v="67"/>
            <x v="72"/>
            <x v="76"/>
            <x v="80"/>
            <x v="82"/>
            <x v="86"/>
            <x v="87"/>
            <x v="90"/>
          </reference>
        </references>
      </pivotArea>
    </format>
    <format dxfId="105">
      <pivotArea dataOnly="0" labelOnly="1" grandRow="1" outline="0" fieldPosition="0"/>
    </format>
    <format dxfId="106">
      <pivotArea dataOnly="0" labelOnly="1" outline="0" fieldPosition="0">
        <references count="1">
          <reference field="4294967294" count="2">
            <x v="0"/>
            <x v="1"/>
          </reference>
        </references>
      </pivotArea>
    </format>
  </formats>
  <conditionalFormats count="4">
    <conditionalFormat scope="data" priority="4">
      <pivotAreas count="1">
        <pivotArea outline="0" fieldPosition="0">
          <references count="1">
            <reference field="4294967294" count="1" selected="0">
              <x v="0"/>
            </reference>
          </references>
        </pivotArea>
      </pivotAreas>
    </conditionalFormat>
    <conditionalFormat scope="data" priority="3">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697E8A-3235-4075-A47B-1192485E39E4}" name="Tabla5" displayName="Tabla5" ref="A4:Y174" totalsRowShown="0" headerRowDxfId="175" dataDxfId="173" headerRowBorderDxfId="174" tableBorderDxfId="172">
  <autoFilter ref="A4:Y174" xr:uid="{80697E8A-3235-4075-A47B-1192485E39E4}">
    <filterColumn colId="4">
      <filters>
        <filter val="Calificada"/>
      </filters>
    </filterColumn>
  </autoFilter>
  <sortState xmlns:xlrd2="http://schemas.microsoft.com/office/spreadsheetml/2017/richdata2" ref="A5:X174">
    <sortCondition descending="1" ref="X4:X174"/>
  </sortState>
  <tableColumns count="25">
    <tableColumn id="1" xr3:uid="{2DC62738-9BE1-4A66-8ECB-F10966E649A5}" name="DOCUMENTO" dataDxfId="171"/>
    <tableColumn id="2" xr3:uid="{A81A8168-BAF6-4EB3-9568-50BDDB38A789}" name="NOMBRE" dataDxfId="170"/>
    <tableColumn id="3" xr3:uid="{64284902-0188-45BC-B14F-00B0CDB43D86}" name="RADICADO" dataDxfId="169"/>
    <tableColumn id="14" xr3:uid="{2DF17F31-E043-4968-AFE0-302CACF367B0}" name="PROCESO" dataDxfId="168"/>
    <tableColumn id="13" xr3:uid="{DB015CC7-0325-4FAA-977F-E2338E34D4F6}" name="ESTADO" dataDxfId="167"/>
    <tableColumn id="4" xr3:uid="{A42D7674-9108-4C4C-AF9B-85D670917745}" name="VALOR INVERSIÓN" dataDxfId="166"/>
    <tableColumn id="5" xr3:uid="{211E2254-8E1D-4946-95F7-CFE9E5C8A99D}" name="ROI (MESES)" dataDxfId="165"/>
    <tableColumn id="6" xr3:uid="{91625305-A94F-4E5F-9C15-A48DBF20B00A}" name="FACILIDAD IMPLEM." dataDxfId="164"/>
    <tableColumn id="7" xr3:uid="{C19A9F42-F801-4CFA-AB43-2BA7E0629BD3}" name="IMPACTO AMBIENTAL (Máx. 25%)" dataDxfId="163" dataCellStyle="Porcentaje"/>
    <tableColumn id="8" xr3:uid="{86C9B3FD-0BC5-4C53-8DB7-C50460CD65FF}" name="IMPACTO ECONÓMICO (Máx. 25%)" dataDxfId="162" dataCellStyle="Porcentaje"/>
    <tableColumn id="9" xr3:uid="{40FE87A0-54E5-4542-99D8-EA26A7DD39E0}" name="IMPACTO SST (Máx. 20%)" dataDxfId="161" dataCellStyle="Porcentaje"/>
    <tableColumn id="10" xr3:uid="{35D2EDDE-2971-4D73-A62C-1EF84C5C32D6}" name="IMPACTO PRODUCTIVIDAD (Máx. 25%)" dataDxfId="160" dataCellStyle="Porcentaje"/>
    <tableColumn id="11" xr3:uid="{8C98A390-EEE6-4352-8229-5681664E310E}" name="IMPACTO ORDEN Y ASEO (Máx. 5%)" dataDxfId="159" dataCellStyle="Porcentaje"/>
    <tableColumn id="15" xr3:uid="{BB0DFC27-5F6F-4574-BB8A-119B3DEA9E38}" name="PUNTOS VALOR INVERSIÓN" dataDxfId="158">
      <calculatedColumnFormula>IF(Tabla5[[#This Row],[VALOR INVERSIÓN]]="","",IF(Tabla5[[#This Row],[VALOR INVERSIÓN]]&lt;=10000000,100%*10%*22000,IF(AND(Tabla5[[#This Row],[VALOR INVERSIÓN]]&gt;10000000,Tabla5[[#This Row],[VALOR INVERSIÓN]]&lt;=20000000),60%*10%*22000,20%*10%*22000)))</calculatedColumnFormula>
    </tableColumn>
    <tableColumn id="16" xr3:uid="{8470994D-5E43-4A41-98FB-81FBC235DBA4}" name="PUNTOS ROI " dataDxfId="157">
      <calculatedColumnFormula>IF(Tabla5[[#This Row],[ROI (MESES)]]="","",IF(Tabla5[[#This Row],[ROI (MESES)]]="N/A","0",IF(Tabla5[[#This Row],[ROI (MESES)]]="&lt;=3",100%*10%*22000,IF(Tabla5[[#This Row],[ROI (MESES)]]="&gt;3&lt;=6",75%*10%*22000,25%*10%*22000))))</calculatedColumnFormula>
    </tableColumn>
    <tableColumn id="17" xr3:uid="{751852A1-294B-4DC8-9A29-9243C51631DC}" name="PUNTOS FACILIDAD IMPLEM. " dataDxfId="156">
      <calculatedColumnFormula>IF(Tabla5[[#This Row],[FACILIDAD IMPLEM.]]="","",IF(Tabla5[[#This Row],[FACILIDAD IMPLEM.]]="A",100%*10%*22000,IF(AND(Tabla5[[#This Row],[FACILIDAD IMPLEM.]]="B"),50%*10%*22000,20%*10%*22000)))</calculatedColumnFormula>
    </tableColumn>
    <tableColumn id="18" xr3:uid="{328D2E55-7468-4737-BF67-226900A17B9F}" name="PUNTOS IMPACTO " dataDxfId="155">
      <calculatedColumnFormula>Tabla5[[#This Row],[IMPACTO AMBIENTAL (Máx. 25%)]]*70%*22000+Tabla5[[#This Row],[IMPACTO ECONÓMICO (Máx. 25%)]]*70%*22000+Tabla5[[#This Row],[IMPACTO SST (Máx. 20%)]]*70%*22000+Tabla5[[#This Row],[IMPACTO PRODUCTIVIDAD (Máx. 25%)]]*70%*22000+Tabla5[[#This Row],[IMPACTO ORDEN Y ASEO (Máx. 5%)]]*70%*22000</calculatedColumnFormula>
    </tableColumn>
    <tableColumn id="19" xr3:uid="{D0CA0464-17A7-4E43-B9E2-36028788A491}" name="PUNTOS TOTALES" dataDxfId="154">
      <calculatedColumnFormula>IFERROR(Tabla5[[#This Row],[PUNTOS VALOR INVERSIÓN]]+Tabla5[[#This Row],[PUNTOS ROI ]]+Tabla5[[#This Row],[PUNTOS FACILIDAD IMPLEM. ]]+Tabla5[[#This Row],[PUNTOS IMPACTO ]],"")</calculatedColumnFormula>
    </tableColumn>
    <tableColumn id="12" xr3:uid="{96ED8E67-0805-4EF8-BBE4-DDE55B15D12F}" name="OBSERVACIONES" dataDxfId="153"/>
    <tableColumn id="21" xr3:uid="{CFD9DA38-B6A2-4C50-BCFB-5B0BAA0583FB}" name="CLASIFICACIÓN" dataDxfId="152"/>
    <tableColumn id="24" xr3:uid="{0E8BFC41-D70F-4AA3-B9F1-1C1B311A49F9}" name="PRIORIDAD" dataDxfId="151"/>
    <tableColumn id="26" xr3:uid="{36537369-3B55-4FD1-930D-5EC654E669CD}" name="RESUMEN IDEA" dataDxfId="150"/>
    <tableColumn id="22" xr3:uid="{41BD3B7B-DFBF-4863-9C14-B0AFC5F996EE}" name="OBSERVACIONES " dataDxfId="149"/>
    <tableColumn id="20" xr3:uid="{374FF62D-E7F5-486F-9081-E668660A92E5}" name="RESPONSABLE" dataDxfId="148"/>
    <tableColumn id="23" xr3:uid="{0D1EE11E-C0D6-427B-8102-9E87846D8FDA}" name="ESTADO IMPLEMENTACIÓN" dataDxfId="147"/>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4E7AA3-569B-4FD9-A636-5032D6CA7276}" name="Tabla2" displayName="Tabla2" ref="A1:F28" totalsRowCount="1" headerRowDxfId="135">
  <autoFilter ref="A1:F27" xr:uid="{364E7AA3-569B-4FD9-A636-5032D6CA7276}"/>
  <sortState xmlns:xlrd2="http://schemas.microsoft.com/office/spreadsheetml/2017/richdata2" ref="A2:F26">
    <sortCondition descending="1" ref="B1:B26"/>
  </sortState>
  <tableColumns count="6">
    <tableColumn id="1" xr3:uid="{BE27712F-6CBE-4DDD-9C74-C8AC6857BB11}" name="Premio" totalsRowLabel="Total"/>
    <tableColumn id="2" xr3:uid="{97C9368B-ADD7-4B24-B5AE-B9B4CD8049B9}" name="Valor" totalsRowFunction="sum" dataDxfId="134" totalsRowDxfId="133" dataCellStyle="Moneda"/>
    <tableColumn id="3" xr3:uid="{37709E83-88B7-4776-A24A-7B1985C694BB}" name="Cantidad"/>
    <tableColumn id="4" xr3:uid="{E194D2AA-25B8-48EA-B00E-728F4F7439FC}" name="Total" totalsRowFunction="sum" dataDxfId="132" totalsRowDxfId="131" dataCellStyle="Moneda">
      <calculatedColumnFormula>B2*C2</calculatedColumnFormula>
    </tableColumn>
    <tableColumn id="6" xr3:uid="{3CEF0D60-65FD-4FB9-80F4-851482F30521}" name="Valor Punto" dataDxfId="130" totalsRowDxfId="129" dataCellStyle="Moneda"/>
    <tableColumn id="7" xr3:uid="{946D5CE1-2FF3-44A4-846C-F3C45CBD4D23}" name="Puntos" dataDxfId="128" totalsRowDxfId="127" dataCellStyle="Moneda">
      <calculatedColumnFormula>Tabla2[[#This Row],[Valor]]/Tabla2[[#This Row],[Valor Punto]]</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ED71BC-C8D3-45A8-8595-F52478C0AD1E}" name="Tabla3" displayName="Tabla3" ref="A1:I12" totalsRowCount="1" headerRowDxfId="146" tableBorderDxfId="145">
  <autoFilter ref="A1:I11" xr:uid="{ABED71BC-C8D3-45A8-8595-F52478C0AD1E}"/>
  <tableColumns count="9">
    <tableColumn id="1" xr3:uid="{EA373363-F2E7-4612-BCA0-E0CF4D9CDACC}" name="DOCUMENTO" totalsRowLabel="Total" dataDxfId="144" totalsRowDxfId="143"/>
    <tableColumn id="2" xr3:uid="{3059406C-767C-4444-A965-696A5B22347D}" name="NOMBRE" dataDxfId="142" totalsRowDxfId="141">
      <calculatedColumnFormula>VLOOKUP(Tabla3[[#This Row],[DOCUMENTO]],Tabla5[[#All],[DOCUMENTO]:[NOMBRE]],2,0)</calculatedColumnFormula>
    </tableColumn>
    <tableColumn id="4" xr3:uid="{707241CE-1311-43B4-9B4C-326695F9F62B}" name="PREMIO REDIMIDO" dataDxfId="140" totalsRowDxfId="139"/>
    <tableColumn id="9" xr3:uid="{C1FB064C-FA0A-4BC2-80F1-5A2674B394E2}" name="VALOR " totalsRowFunction="custom" dataDxfId="138" totalsRowDxfId="137">
      <totalsRowFormula>SUBTOTAL(109,D2:D11)</totalsRowFormula>
    </tableColumn>
    <tableColumn id="5" xr3:uid="{E6634FD8-93A2-4FC7-8898-3E7F1E372C2B}" name="FECHA" dataDxfId="136"/>
    <tableColumn id="6" xr3:uid="{E5C97DC0-4D61-4F25-B102-8F95CCF3DD48}" name="PUNTOS ACUMULADOS">
      <calculatedColumnFormula>SUMIF(Tabla5[[DOCUMENTO]:[PUNTOS TOTALES]],Tabla3[[#This Row],[DOCUMENTO]],Tabla5[PUNTOS TOTALES])</calculatedColumnFormula>
    </tableColumn>
    <tableColumn id="3" xr3:uid="{E4081A61-A613-40F7-9806-00E3542D407B}" name="PUNTOS REDIMIDOS"/>
    <tableColumn id="7" xr3:uid="{D9C3CFBD-737E-44DA-9B80-578251CEB746}" name="PUNTOS RESTANTES">
      <calculatedColumnFormula>Tabla3[[#This Row],[PUNTOS ACUMULADOS]]-Tabla3[[#This Row],[PUNTOS REDIMIDOS]]</calculatedColumnFormula>
    </tableColumn>
    <tableColumn id="8" xr3:uid="{DD6518B2-E920-4DF3-A02B-77D38359623B}" name="ENTREGA" totalsRowFunction="count"/>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9D8AA6-AE27-4264-A960-83A5A27F05F0}" name="Notificaciones" displayName="Notificaciones" ref="B4:I175" totalsRowCount="1" headerRowDxfId="126" dataDxfId="124" headerRowBorderDxfId="125" tableBorderDxfId="123">
  <autoFilter ref="B4:I174" xr:uid="{109D8AA6-AE27-4264-A960-83A5A27F05F0}"/>
  <sortState xmlns:xlrd2="http://schemas.microsoft.com/office/spreadsheetml/2017/richdata2" ref="B13:I142">
    <sortCondition ref="I4:I174"/>
  </sortState>
  <tableColumns count="8">
    <tableColumn id="1" xr3:uid="{A021D19A-DA74-4DDE-83C3-AED5EB0E2BE7}" name="DOCUMENTO" totalsRowLabel="Total" dataDxfId="122" totalsRowDxfId="121"/>
    <tableColumn id="2" xr3:uid="{F046B0C2-742F-402A-815A-C0C0BAAAFF85}" name="NOMBRE" dataDxfId="120" totalsRowDxfId="119"/>
    <tableColumn id="3" xr3:uid="{3BC662CF-3871-4D44-ACEA-170F0CF38A12}" name="RADICADO" totalsRowFunction="count" dataDxfId="118" totalsRowDxfId="117"/>
    <tableColumn id="4" xr3:uid="{2D055116-1B39-4083-88BD-D2D125C29805}" name="CELULAR" dataDxfId="116" totalsRowDxfId="115"/>
    <tableColumn id="13" xr3:uid="{77284C7E-AA42-4338-BEA1-9A85C1CE4C2E}" name="FECHA RADICADO" dataDxfId="114" totalsRowDxfId="113"/>
    <tableColumn id="5" xr3:uid="{0E5723D0-0C2B-40C0-B3B8-5231F86F30FB}" name="FECHA NOT. IDEA RECIBIDA " dataDxfId="112" totalsRowDxfId="111"/>
    <tableColumn id="15" xr3:uid="{BA73BBCD-F1DD-452C-9E97-198DEC76CBA3}" name="FECHA NOT. PUNTOS ACUMULADOS " dataDxfId="110" totalsRowDxfId="109"/>
    <tableColumn id="9" xr3:uid="{EA123985-7E8F-4622-8B2B-E2C225420D2D}" name="DIAS TRANS. TOTALES" dataDxfId="108" totalsRowDxfId="107">
      <calculatedColumnFormula>IFERROR(#REF!+#REF!,"")</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9D356-B9EE-488A-8879-F707DF77BDA0}">
  <dimension ref="A1:J15"/>
  <sheetViews>
    <sheetView workbookViewId="0">
      <selection activeCell="C15" sqref="C15"/>
    </sheetView>
  </sheetViews>
  <sheetFormatPr baseColWidth="10" defaultColWidth="11.44140625" defaultRowHeight="14.4" x14ac:dyDescent="0.3"/>
  <cols>
    <col min="1" max="1" width="26.33203125" customWidth="1"/>
    <col min="2" max="2" width="6" bestFit="1" customWidth="1"/>
    <col min="3" max="3" width="19.44140625" customWidth="1"/>
    <col min="4" max="4" width="6.88671875" customWidth="1"/>
    <col min="5" max="5" width="19.6640625" customWidth="1"/>
    <col min="6" max="6" width="6" customWidth="1"/>
    <col min="7" max="7" width="13.33203125" bestFit="1" customWidth="1"/>
    <col min="8" max="8" width="11.44140625" style="2"/>
    <col min="9" max="9" width="13" bestFit="1" customWidth="1"/>
  </cols>
  <sheetData>
    <row r="1" spans="1:10" s="5" customFormat="1" ht="33" customHeight="1" x14ac:dyDescent="0.3">
      <c r="A1" s="7" t="s">
        <v>0</v>
      </c>
      <c r="B1" s="8" t="s">
        <v>1</v>
      </c>
      <c r="C1" s="31" t="s">
        <v>2</v>
      </c>
      <c r="D1" s="32" t="s">
        <v>1</v>
      </c>
      <c r="E1" s="37" t="s">
        <v>3</v>
      </c>
      <c r="F1" s="13" t="s">
        <v>1</v>
      </c>
      <c r="G1" s="14" t="s">
        <v>4</v>
      </c>
      <c r="H1" s="15" t="s">
        <v>5</v>
      </c>
    </row>
    <row r="2" spans="1:10" x14ac:dyDescent="0.3">
      <c r="A2" s="9" t="s">
        <v>6</v>
      </c>
      <c r="B2" s="21">
        <v>1</v>
      </c>
      <c r="C2" s="33" t="s">
        <v>7</v>
      </c>
      <c r="D2" s="34">
        <v>1</v>
      </c>
      <c r="E2" s="38" t="s">
        <v>8</v>
      </c>
      <c r="F2" s="11">
        <v>1</v>
      </c>
      <c r="G2" s="16" t="s">
        <v>9</v>
      </c>
      <c r="H2" s="19" t="s">
        <v>10</v>
      </c>
      <c r="I2" s="30"/>
    </row>
    <row r="3" spans="1:10" x14ac:dyDescent="0.3">
      <c r="A3" s="9" t="s">
        <v>11</v>
      </c>
      <c r="B3" s="21">
        <v>0.6</v>
      </c>
      <c r="C3" s="33" t="s">
        <v>12</v>
      </c>
      <c r="D3" s="34">
        <v>0.75</v>
      </c>
      <c r="E3" s="38" t="s">
        <v>13</v>
      </c>
      <c r="F3" s="11">
        <v>0.5</v>
      </c>
      <c r="G3" s="16" t="s">
        <v>14</v>
      </c>
      <c r="H3" s="19" t="s">
        <v>10</v>
      </c>
      <c r="I3" s="30"/>
    </row>
    <row r="4" spans="1:10" x14ac:dyDescent="0.3">
      <c r="A4" s="10" t="s">
        <v>15</v>
      </c>
      <c r="B4" s="22">
        <v>0.2</v>
      </c>
      <c r="C4" s="35" t="s">
        <v>16</v>
      </c>
      <c r="D4" s="36">
        <v>0.25</v>
      </c>
      <c r="E4" s="39" t="s">
        <v>17</v>
      </c>
      <c r="F4" s="12">
        <v>0.2</v>
      </c>
      <c r="G4" s="16" t="s">
        <v>18</v>
      </c>
      <c r="H4" s="19" t="s">
        <v>19</v>
      </c>
      <c r="I4" s="30"/>
    </row>
    <row r="5" spans="1:10" x14ac:dyDescent="0.3">
      <c r="B5" s="1"/>
      <c r="C5" s="1"/>
      <c r="D5" s="1"/>
      <c r="E5" s="1"/>
      <c r="F5" s="1"/>
      <c r="G5" s="17" t="s">
        <v>20</v>
      </c>
      <c r="H5" s="19" t="s">
        <v>10</v>
      </c>
      <c r="I5" s="30"/>
    </row>
    <row r="6" spans="1:10" x14ac:dyDescent="0.3">
      <c r="A6" s="1" t="s">
        <v>21</v>
      </c>
      <c r="B6">
        <v>22000</v>
      </c>
      <c r="G6" s="18" t="s">
        <v>22</v>
      </c>
      <c r="H6" s="20" t="s">
        <v>23</v>
      </c>
      <c r="I6" s="30"/>
    </row>
    <row r="8" spans="1:10" x14ac:dyDescent="0.3">
      <c r="B8" s="23">
        <v>0.1</v>
      </c>
      <c r="D8" s="29">
        <v>0.1</v>
      </c>
      <c r="E8" s="3"/>
      <c r="F8" s="24">
        <v>0.1</v>
      </c>
      <c r="G8" s="3"/>
      <c r="H8" s="25">
        <v>0.7</v>
      </c>
      <c r="J8" s="1"/>
    </row>
    <row r="9" spans="1:10" x14ac:dyDescent="0.3">
      <c r="A9" s="1">
        <v>1</v>
      </c>
      <c r="B9" s="40">
        <f>$B$6*B8*B2</f>
        <v>2200</v>
      </c>
      <c r="C9" s="1">
        <v>1</v>
      </c>
      <c r="D9" s="40">
        <f>$B$6*D8*D2</f>
        <v>2200</v>
      </c>
      <c r="E9" s="1">
        <v>1</v>
      </c>
      <c r="F9" s="40">
        <f>$B$6*F8*F2</f>
        <v>2200</v>
      </c>
      <c r="G9" s="1">
        <v>0</v>
      </c>
      <c r="H9">
        <f>+$H$15*G9</f>
        <v>0</v>
      </c>
      <c r="I9" t="s">
        <v>9</v>
      </c>
    </row>
    <row r="10" spans="1:10" x14ac:dyDescent="0.3">
      <c r="A10" s="1">
        <v>0.6</v>
      </c>
      <c r="B10">
        <f>B6*0.1*B3</f>
        <v>1320</v>
      </c>
      <c r="C10" s="1">
        <v>0.75</v>
      </c>
      <c r="D10">
        <f>C10*D9</f>
        <v>1650</v>
      </c>
      <c r="E10" s="1">
        <v>0.5</v>
      </c>
      <c r="F10">
        <f>F9*E10</f>
        <v>1100</v>
      </c>
      <c r="G10" s="1">
        <v>0.25</v>
      </c>
      <c r="H10" s="40">
        <f>+$H$15*G10</f>
        <v>3849.9999999999995</v>
      </c>
      <c r="I10" t="s">
        <v>14</v>
      </c>
    </row>
    <row r="11" spans="1:10" x14ac:dyDescent="0.3">
      <c r="A11" s="1">
        <v>0.2</v>
      </c>
      <c r="B11">
        <f>$B$6*0.1*B4</f>
        <v>440</v>
      </c>
      <c r="C11" s="1">
        <v>0.25</v>
      </c>
      <c r="D11">
        <f>D9*C11</f>
        <v>550</v>
      </c>
      <c r="E11" s="1">
        <v>0.2</v>
      </c>
      <c r="F11">
        <f>F9*E11</f>
        <v>440</v>
      </c>
      <c r="G11" s="1">
        <v>0</v>
      </c>
      <c r="H11">
        <f>+$H$15*G11</f>
        <v>0</v>
      </c>
      <c r="I11" t="s">
        <v>18</v>
      </c>
    </row>
    <row r="12" spans="1:10" x14ac:dyDescent="0.3">
      <c r="G12" s="1">
        <v>0.25</v>
      </c>
      <c r="H12" s="40">
        <f>+$H$15*G12</f>
        <v>3849.9999999999995</v>
      </c>
      <c r="I12" t="s">
        <v>20</v>
      </c>
    </row>
    <row r="13" spans="1:10" x14ac:dyDescent="0.3">
      <c r="G13" s="1">
        <v>0</v>
      </c>
      <c r="H13">
        <f>+$H$15*G13</f>
        <v>0</v>
      </c>
      <c r="I13" t="s">
        <v>22</v>
      </c>
    </row>
    <row r="15" spans="1:10" x14ac:dyDescent="0.3">
      <c r="H15">
        <f>B6*H8</f>
        <v>15399.999999999998</v>
      </c>
    </row>
  </sheetData>
  <sortState xmlns:xlrd2="http://schemas.microsoft.com/office/spreadsheetml/2017/richdata2" ref="G3:H6">
    <sortCondition descending="1" ref="H3:H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6D910-13AC-4B88-8961-C612537F6133}">
  <dimension ref="A1:Y174"/>
  <sheetViews>
    <sheetView showGridLines="0" zoomScale="110" zoomScaleNormal="110" workbookViewId="0">
      <pane xSplit="3" ySplit="4" topLeftCell="M10" activePane="bottomRight" state="frozen"/>
      <selection pane="topRight" activeCell="D1" sqref="D1"/>
      <selection pane="bottomLeft" activeCell="A5" sqref="A5"/>
      <selection pane="bottomRight" activeCell="M4" sqref="M4"/>
    </sheetView>
  </sheetViews>
  <sheetFormatPr baseColWidth="10" defaultColWidth="11.44140625" defaultRowHeight="13.8" x14ac:dyDescent="0.25"/>
  <cols>
    <col min="1" max="1" width="14.6640625" style="47" customWidth="1"/>
    <col min="2" max="2" width="31.109375" style="88" bestFit="1" customWidth="1"/>
    <col min="3" max="3" width="12.5546875" style="49" customWidth="1"/>
    <col min="4" max="4" width="15.44140625" style="49" bestFit="1" customWidth="1"/>
    <col min="5" max="5" width="13.109375" style="49" bestFit="1" customWidth="1"/>
    <col min="6" max="6" width="15.5546875" style="41" bestFit="1" customWidth="1"/>
    <col min="7" max="7" width="12.88671875" style="45" bestFit="1" customWidth="1"/>
    <col min="8" max="8" width="15.6640625" style="45" bestFit="1" customWidth="1"/>
    <col min="9" max="10" width="16.6640625" style="41" bestFit="1" customWidth="1"/>
    <col min="11" max="11" width="14.33203125" style="41" bestFit="1" customWidth="1"/>
    <col min="12" max="12" width="21.5546875" style="41" bestFit="1" customWidth="1"/>
    <col min="13" max="13" width="19.109375" style="41" bestFit="1" customWidth="1"/>
    <col min="14" max="14" width="20" style="41" bestFit="1" customWidth="1"/>
    <col min="15" max="15" width="13.109375" style="44" bestFit="1" customWidth="1"/>
    <col min="16" max="16" width="15.6640625" style="41" bestFit="1" customWidth="1"/>
    <col min="17" max="17" width="14.33203125" style="41" bestFit="1" customWidth="1"/>
    <col min="18" max="18" width="15" style="41" customWidth="1"/>
    <col min="19" max="19" width="65.33203125" style="88" hidden="1" customWidth="1"/>
    <col min="20" max="20" width="17.109375" style="41" bestFit="1" customWidth="1"/>
    <col min="21" max="21" width="17.109375" style="41" customWidth="1"/>
    <col min="22" max="22" width="29" style="88" customWidth="1"/>
    <col min="23" max="23" width="45.5546875" style="88" customWidth="1"/>
    <col min="24" max="24" width="25.33203125" style="41" customWidth="1"/>
    <col min="25" max="25" width="23.109375" style="41" customWidth="1"/>
    <col min="26" max="16384" width="11.44140625" style="41"/>
  </cols>
  <sheetData>
    <row r="1" spans="1:25" ht="45.75" customHeight="1" x14ac:dyDescent="0.25">
      <c r="A1" s="118"/>
      <c r="B1" s="119"/>
      <c r="C1" s="122" t="s">
        <v>24</v>
      </c>
      <c r="D1" s="122"/>
      <c r="E1" s="122"/>
      <c r="F1" s="122"/>
      <c r="G1" s="122"/>
      <c r="H1" s="122"/>
      <c r="I1" s="122"/>
      <c r="J1" s="122"/>
      <c r="K1" s="122"/>
      <c r="L1" s="122"/>
      <c r="M1" s="122"/>
      <c r="N1" s="122"/>
      <c r="O1" s="122"/>
      <c r="P1" s="122"/>
      <c r="Q1" s="122"/>
      <c r="R1" s="122"/>
      <c r="S1" s="122"/>
      <c r="T1" s="122"/>
      <c r="U1" s="122"/>
      <c r="V1" s="122"/>
      <c r="W1" s="122"/>
      <c r="X1" s="122"/>
      <c r="Y1" s="98" t="s">
        <v>25</v>
      </c>
    </row>
    <row r="3" spans="1:25" ht="24" customHeight="1" x14ac:dyDescent="0.25">
      <c r="A3" s="117" t="s">
        <v>26</v>
      </c>
      <c r="B3" s="117"/>
      <c r="C3" s="117"/>
      <c r="D3" s="117"/>
      <c r="E3" s="117"/>
      <c r="F3" s="117"/>
      <c r="G3" s="117"/>
      <c r="H3" s="117"/>
      <c r="I3" s="117"/>
      <c r="J3" s="117"/>
      <c r="K3" s="117"/>
      <c r="L3" s="117"/>
      <c r="M3" s="117"/>
      <c r="N3" s="42">
        <v>0.1</v>
      </c>
      <c r="O3" s="42">
        <v>0.1</v>
      </c>
      <c r="P3" s="42">
        <v>0.1</v>
      </c>
      <c r="Q3" s="42">
        <v>0.7</v>
      </c>
      <c r="R3" s="42">
        <v>1</v>
      </c>
      <c r="S3" s="99"/>
      <c r="T3" s="120" t="s">
        <v>27</v>
      </c>
      <c r="U3" s="121"/>
      <c r="V3" s="121"/>
      <c r="W3" s="121"/>
      <c r="X3" s="121"/>
      <c r="Y3" s="121"/>
    </row>
    <row r="4" spans="1:25" ht="41.4" x14ac:dyDescent="0.25">
      <c r="A4" s="43" t="s">
        <v>28</v>
      </c>
      <c r="B4" s="43" t="s">
        <v>29</v>
      </c>
      <c r="C4" s="43" t="s">
        <v>30</v>
      </c>
      <c r="D4" s="43" t="s">
        <v>31</v>
      </c>
      <c r="E4" s="43" t="s">
        <v>32</v>
      </c>
      <c r="F4" s="43" t="s">
        <v>33</v>
      </c>
      <c r="G4" s="43" t="s">
        <v>34</v>
      </c>
      <c r="H4" s="43" t="s">
        <v>35</v>
      </c>
      <c r="I4" s="43" t="s">
        <v>36</v>
      </c>
      <c r="J4" s="43" t="s">
        <v>37</v>
      </c>
      <c r="K4" s="43" t="s">
        <v>38</v>
      </c>
      <c r="L4" s="43" t="s">
        <v>39</v>
      </c>
      <c r="M4" s="43" t="s">
        <v>40</v>
      </c>
      <c r="N4" s="108" t="s">
        <v>41</v>
      </c>
      <c r="O4" s="108" t="s">
        <v>42</v>
      </c>
      <c r="P4" s="108" t="s">
        <v>43</v>
      </c>
      <c r="Q4" s="108" t="s">
        <v>44</v>
      </c>
      <c r="R4" s="108" t="s">
        <v>45</v>
      </c>
      <c r="S4" s="46" t="s">
        <v>46</v>
      </c>
      <c r="T4" s="109" t="s">
        <v>47</v>
      </c>
      <c r="U4" s="109" t="s">
        <v>48</v>
      </c>
      <c r="V4" s="109" t="s">
        <v>49</v>
      </c>
      <c r="W4" s="109" t="s">
        <v>50</v>
      </c>
      <c r="X4" s="109" t="s">
        <v>51</v>
      </c>
      <c r="Y4" s="109" t="s">
        <v>52</v>
      </c>
    </row>
    <row r="5" spans="1:25" hidden="1" x14ac:dyDescent="0.25">
      <c r="A5" s="47">
        <v>1001812262</v>
      </c>
      <c r="B5" s="53" t="s">
        <v>53</v>
      </c>
      <c r="C5" s="49">
        <v>501</v>
      </c>
      <c r="D5" s="49" t="s">
        <v>54</v>
      </c>
      <c r="E5" s="49" t="s">
        <v>55</v>
      </c>
      <c r="F5" s="92"/>
      <c r="G5" s="49"/>
      <c r="H5" s="49"/>
      <c r="I5" s="50"/>
      <c r="J5" s="50"/>
      <c r="K5" s="50"/>
      <c r="L5" s="50"/>
      <c r="M5" s="50"/>
      <c r="N5" s="49" t="str">
        <f>IF(Tabla5[[#This Row],[VALOR INVERSIÓN]]="","",IF(Tabla5[[#This Row],[VALOR INVERSIÓN]]&lt;=10000000,100%*10%*22000,IF(AND(Tabla5[[#This Row],[VALOR INVERSIÓN]]&gt;10000000,Tabla5[[#This Row],[VALOR INVERSIÓN]]&lt;=20000000),60%*10%*22000,20%*10%*22000)))</f>
        <v/>
      </c>
      <c r="O5" s="49" t="str">
        <f>IF(Tabla5[[#This Row],[ROI (MESES)]]="","",IF(Tabla5[[#This Row],[ROI (MESES)]]="N/A","0",IF(Tabla5[[#This Row],[ROI (MESES)]]="&lt;=3",100%*10%*22000,IF(Tabla5[[#This Row],[ROI (MESES)]]="&gt;3&lt;=6",75%*10%*22000,25%*10%*22000))))</f>
        <v/>
      </c>
      <c r="P5" s="49" t="str">
        <f>IF(Tabla5[[#This Row],[FACILIDAD IMPLEM.]]="","",IF(Tabla5[[#This Row],[FACILIDAD IMPLEM.]]="A",100%*10%*22000,IF(AND(Tabla5[[#This Row],[FACILIDAD IMPLEM.]]="B"),50%*10%*22000,20%*10%*22000)))</f>
        <v/>
      </c>
      <c r="Q5" s="49">
        <f>Tabla5[[#This Row],[IMPACTO AMBIENTAL (Máx. 25%)]]*70%*22000+Tabla5[[#This Row],[IMPACTO ECONÓMICO (Máx. 25%)]]*70%*22000+Tabla5[[#This Row],[IMPACTO SST (Máx. 20%)]]*70%*22000+Tabla5[[#This Row],[IMPACTO PRODUCTIVIDAD (Máx. 25%)]]*70%*22000+Tabla5[[#This Row],[IMPACTO ORDEN Y ASEO (Máx. 5%)]]*70%*22000</f>
        <v>0</v>
      </c>
      <c r="R5" s="49" t="str">
        <f>IFERROR(Tabla5[[#This Row],[PUNTOS VALOR INVERSIÓN]]+Tabla5[[#This Row],[PUNTOS ROI ]]+Tabla5[[#This Row],[PUNTOS FACILIDAD IMPLEM. ]]+Tabla5[[#This Row],[PUNTOS IMPACTO ]],"")</f>
        <v/>
      </c>
      <c r="S5" s="54"/>
      <c r="T5" s="91"/>
      <c r="U5" s="91"/>
      <c r="V5" s="54"/>
      <c r="W5" s="54"/>
      <c r="X5" s="49"/>
      <c r="Y5" s="49"/>
    </row>
    <row r="6" spans="1:25" hidden="1" x14ac:dyDescent="0.25">
      <c r="A6" s="47">
        <v>59834499</v>
      </c>
      <c r="B6" s="53" t="s">
        <v>56</v>
      </c>
      <c r="C6" s="49">
        <v>502</v>
      </c>
      <c r="D6" s="49" t="s">
        <v>57</v>
      </c>
      <c r="E6" s="49" t="s">
        <v>55</v>
      </c>
      <c r="F6" s="92"/>
      <c r="G6" s="49"/>
      <c r="H6" s="49"/>
      <c r="I6" s="50"/>
      <c r="J6" s="50"/>
      <c r="K6" s="50"/>
      <c r="L6" s="50"/>
      <c r="M6" s="50"/>
      <c r="N6" s="49" t="str">
        <f>IF(Tabla5[[#This Row],[VALOR INVERSIÓN]]="","",IF(Tabla5[[#This Row],[VALOR INVERSIÓN]]&lt;=10000000,100%*10%*22000,IF(AND(Tabla5[[#This Row],[VALOR INVERSIÓN]]&gt;10000000,Tabla5[[#This Row],[VALOR INVERSIÓN]]&lt;=20000000),60%*10%*22000,20%*10%*22000)))</f>
        <v/>
      </c>
      <c r="O6" s="49" t="str">
        <f>IF(Tabla5[[#This Row],[ROI (MESES)]]="","",IF(Tabla5[[#This Row],[ROI (MESES)]]="N/A","0",IF(Tabla5[[#This Row],[ROI (MESES)]]="&lt;=3",100%*10%*22000,IF(Tabla5[[#This Row],[ROI (MESES)]]="&gt;3&lt;=6",75%*10%*22000,25%*10%*22000))))</f>
        <v/>
      </c>
      <c r="P6" s="49" t="str">
        <f>IF(Tabla5[[#This Row],[FACILIDAD IMPLEM.]]="","",IF(Tabla5[[#This Row],[FACILIDAD IMPLEM.]]="A",100%*10%*22000,IF(AND(Tabla5[[#This Row],[FACILIDAD IMPLEM.]]="B"),50%*10%*22000,20%*10%*22000)))</f>
        <v/>
      </c>
      <c r="Q6" s="49">
        <f>Tabla5[[#This Row],[IMPACTO AMBIENTAL (Máx. 25%)]]*70%*22000+Tabla5[[#This Row],[IMPACTO ECONÓMICO (Máx. 25%)]]*70%*22000+Tabla5[[#This Row],[IMPACTO SST (Máx. 20%)]]*70%*22000+Tabla5[[#This Row],[IMPACTO PRODUCTIVIDAD (Máx. 25%)]]*70%*22000+Tabla5[[#This Row],[IMPACTO ORDEN Y ASEO (Máx. 5%)]]*70%*22000</f>
        <v>0</v>
      </c>
      <c r="R6" s="49" t="str">
        <f>IFERROR(Tabla5[[#This Row],[PUNTOS VALOR INVERSIÓN]]+Tabla5[[#This Row],[PUNTOS ROI ]]+Tabla5[[#This Row],[PUNTOS FACILIDAD IMPLEM. ]]+Tabla5[[#This Row],[PUNTOS IMPACTO ]],"")</f>
        <v/>
      </c>
      <c r="S6" s="54"/>
      <c r="T6" s="91"/>
      <c r="U6" s="91"/>
      <c r="V6" s="54"/>
      <c r="W6" s="54"/>
      <c r="X6" s="49"/>
      <c r="Y6" s="49"/>
    </row>
    <row r="7" spans="1:25" hidden="1" x14ac:dyDescent="0.25">
      <c r="A7" s="47">
        <v>1001812262</v>
      </c>
      <c r="B7" s="53" t="s">
        <v>53</v>
      </c>
      <c r="C7" s="49">
        <v>532</v>
      </c>
      <c r="D7" s="49" t="s">
        <v>54</v>
      </c>
      <c r="E7" s="49" t="s">
        <v>55</v>
      </c>
      <c r="F7" s="92"/>
      <c r="G7" s="49"/>
      <c r="H7" s="49"/>
      <c r="I7" s="50"/>
      <c r="J7" s="50"/>
      <c r="K7" s="50"/>
      <c r="L7" s="50"/>
      <c r="M7" s="50"/>
      <c r="N7" s="49" t="str">
        <f>IF(Tabla5[[#This Row],[VALOR INVERSIÓN]]="","",IF(Tabla5[[#This Row],[VALOR INVERSIÓN]]&lt;=10000000,100%*10%*22000,IF(AND(Tabla5[[#This Row],[VALOR INVERSIÓN]]&gt;10000000,Tabla5[[#This Row],[VALOR INVERSIÓN]]&lt;=20000000),60%*10%*22000,20%*10%*22000)))</f>
        <v/>
      </c>
      <c r="O7" s="49" t="str">
        <f>IF(Tabla5[[#This Row],[ROI (MESES)]]="","",IF(Tabla5[[#This Row],[ROI (MESES)]]="N/A","0",IF(Tabla5[[#This Row],[ROI (MESES)]]="&lt;=3",100%*10%*22000,IF(Tabla5[[#This Row],[ROI (MESES)]]="&gt;3&lt;=6",75%*10%*22000,25%*10%*22000))))</f>
        <v/>
      </c>
      <c r="P7" s="49" t="str">
        <f>IF(Tabla5[[#This Row],[FACILIDAD IMPLEM.]]="","",IF(Tabla5[[#This Row],[FACILIDAD IMPLEM.]]="A",100%*10%*22000,IF(AND(Tabla5[[#This Row],[FACILIDAD IMPLEM.]]="B"),50%*10%*22000,20%*10%*22000)))</f>
        <v/>
      </c>
      <c r="Q7" s="49">
        <f>Tabla5[[#This Row],[IMPACTO AMBIENTAL (Máx. 25%)]]*70%*22000+Tabla5[[#This Row],[IMPACTO ECONÓMICO (Máx. 25%)]]*70%*22000+Tabla5[[#This Row],[IMPACTO SST (Máx. 20%)]]*70%*22000+Tabla5[[#This Row],[IMPACTO PRODUCTIVIDAD (Máx. 25%)]]*70%*22000+Tabla5[[#This Row],[IMPACTO ORDEN Y ASEO (Máx. 5%)]]*70%*22000</f>
        <v>0</v>
      </c>
      <c r="R7" s="49" t="str">
        <f>IFERROR(Tabla5[[#This Row],[PUNTOS VALOR INVERSIÓN]]+Tabla5[[#This Row],[PUNTOS ROI ]]+Tabla5[[#This Row],[PUNTOS FACILIDAD IMPLEM. ]]+Tabla5[[#This Row],[PUNTOS IMPACTO ]],"")</f>
        <v/>
      </c>
      <c r="S7" s="54"/>
      <c r="T7" s="91"/>
      <c r="U7" s="91"/>
      <c r="V7" s="54"/>
      <c r="W7" s="54"/>
      <c r="X7" s="49"/>
      <c r="Y7" s="49"/>
    </row>
    <row r="8" spans="1:25" hidden="1" x14ac:dyDescent="0.25">
      <c r="A8" s="47">
        <v>1037572152</v>
      </c>
      <c r="B8" s="53" t="s">
        <v>58</v>
      </c>
      <c r="C8" s="49">
        <v>851</v>
      </c>
      <c r="D8" s="49" t="s">
        <v>54</v>
      </c>
      <c r="E8" s="49" t="s">
        <v>55</v>
      </c>
      <c r="F8" s="92"/>
      <c r="G8" s="49"/>
      <c r="H8" s="49"/>
      <c r="I8" s="50"/>
      <c r="J8" s="50"/>
      <c r="K8" s="50"/>
      <c r="L8" s="50"/>
      <c r="M8" s="50"/>
      <c r="N8" s="49" t="str">
        <f>IF(Tabla5[[#This Row],[VALOR INVERSIÓN]]="","",IF(Tabla5[[#This Row],[VALOR INVERSIÓN]]&lt;=10000000,100%*10%*22000,IF(AND(Tabla5[[#This Row],[VALOR INVERSIÓN]]&gt;10000000,Tabla5[[#This Row],[VALOR INVERSIÓN]]&lt;=20000000),60%*10%*22000,20%*10%*22000)))</f>
        <v/>
      </c>
      <c r="O8" s="49" t="str">
        <f>IF(Tabla5[[#This Row],[ROI (MESES)]]="","",IF(Tabla5[[#This Row],[ROI (MESES)]]="N/A","0",IF(Tabla5[[#This Row],[ROI (MESES)]]="&lt;=3",100%*10%*22000,IF(Tabla5[[#This Row],[ROI (MESES)]]="&gt;3&lt;=6",75%*10%*22000,25%*10%*22000))))</f>
        <v/>
      </c>
      <c r="P8" s="49" t="str">
        <f>IF(Tabla5[[#This Row],[FACILIDAD IMPLEM.]]="","",IF(Tabla5[[#This Row],[FACILIDAD IMPLEM.]]="A",100%*10%*22000,IF(AND(Tabla5[[#This Row],[FACILIDAD IMPLEM.]]="B"),50%*10%*22000,20%*10%*22000)))</f>
        <v/>
      </c>
      <c r="Q8" s="49">
        <f>Tabla5[[#This Row],[IMPACTO AMBIENTAL (Máx. 25%)]]*70%*22000+Tabla5[[#This Row],[IMPACTO ECONÓMICO (Máx. 25%)]]*70%*22000+Tabla5[[#This Row],[IMPACTO SST (Máx. 20%)]]*70%*22000+Tabla5[[#This Row],[IMPACTO PRODUCTIVIDAD (Máx. 25%)]]*70%*22000+Tabla5[[#This Row],[IMPACTO ORDEN Y ASEO (Máx. 5%)]]*70%*22000</f>
        <v>0</v>
      </c>
      <c r="R8" s="49" t="str">
        <f>IFERROR(Tabla5[[#This Row],[PUNTOS VALOR INVERSIÓN]]+Tabla5[[#This Row],[PUNTOS ROI ]]+Tabla5[[#This Row],[PUNTOS FACILIDAD IMPLEM. ]]+Tabla5[[#This Row],[PUNTOS IMPACTO ]],"")</f>
        <v/>
      </c>
      <c r="S8" s="54"/>
      <c r="T8" s="91"/>
      <c r="U8" s="91"/>
      <c r="V8" s="54"/>
      <c r="W8" s="54"/>
      <c r="X8" s="49"/>
      <c r="Y8" s="49"/>
    </row>
    <row r="9" spans="1:25" hidden="1" x14ac:dyDescent="0.25">
      <c r="A9" s="47">
        <v>1193219755</v>
      </c>
      <c r="B9" s="53" t="s">
        <v>59</v>
      </c>
      <c r="C9" s="49">
        <v>862</v>
      </c>
      <c r="D9" s="49" t="s">
        <v>60</v>
      </c>
      <c r="E9" s="49" t="s">
        <v>55</v>
      </c>
      <c r="F9" s="92"/>
      <c r="G9" s="49"/>
      <c r="H9" s="49"/>
      <c r="I9" s="50"/>
      <c r="J9" s="50"/>
      <c r="K9" s="50"/>
      <c r="L9" s="50"/>
      <c r="M9" s="50"/>
      <c r="N9" s="49" t="str">
        <f>IF(Tabla5[[#This Row],[VALOR INVERSIÓN]]="","",IF(Tabla5[[#This Row],[VALOR INVERSIÓN]]&lt;=10000000,100%*10%*22000,IF(AND(Tabla5[[#This Row],[VALOR INVERSIÓN]]&gt;10000000,Tabla5[[#This Row],[VALOR INVERSIÓN]]&lt;=20000000),60%*10%*22000,20%*10%*22000)))</f>
        <v/>
      </c>
      <c r="O9" s="49" t="str">
        <f>IF(Tabla5[[#This Row],[ROI (MESES)]]="","",IF(Tabla5[[#This Row],[ROI (MESES)]]="N/A","0",IF(Tabla5[[#This Row],[ROI (MESES)]]="&lt;=3",100%*10%*22000,IF(Tabla5[[#This Row],[ROI (MESES)]]="&gt;3&lt;=6",75%*10%*22000,25%*10%*22000))))</f>
        <v/>
      </c>
      <c r="P9" s="49" t="str">
        <f>IF(Tabla5[[#This Row],[FACILIDAD IMPLEM.]]="","",IF(Tabla5[[#This Row],[FACILIDAD IMPLEM.]]="A",100%*10%*22000,IF(AND(Tabla5[[#This Row],[FACILIDAD IMPLEM.]]="B"),50%*10%*22000,20%*10%*22000)))</f>
        <v/>
      </c>
      <c r="Q9" s="49">
        <f>Tabla5[[#This Row],[IMPACTO AMBIENTAL (Máx. 25%)]]*70%*22000+Tabla5[[#This Row],[IMPACTO ECONÓMICO (Máx. 25%)]]*70%*22000+Tabla5[[#This Row],[IMPACTO SST (Máx. 20%)]]*70%*22000+Tabla5[[#This Row],[IMPACTO PRODUCTIVIDAD (Máx. 25%)]]*70%*22000+Tabla5[[#This Row],[IMPACTO ORDEN Y ASEO (Máx. 5%)]]*70%*22000</f>
        <v>0</v>
      </c>
      <c r="R9" s="49" t="str">
        <f>IFERROR(Tabla5[[#This Row],[PUNTOS VALOR INVERSIÓN]]+Tabla5[[#This Row],[PUNTOS ROI ]]+Tabla5[[#This Row],[PUNTOS FACILIDAD IMPLEM. ]]+Tabla5[[#This Row],[PUNTOS IMPACTO ]],"")</f>
        <v/>
      </c>
      <c r="S9" s="54"/>
      <c r="T9" s="91"/>
      <c r="U9" s="91"/>
      <c r="V9" s="54"/>
      <c r="W9" s="54"/>
      <c r="X9" s="49"/>
      <c r="Y9" s="49"/>
    </row>
    <row r="10" spans="1:25" ht="36" customHeight="1" x14ac:dyDescent="0.25">
      <c r="A10" s="47">
        <v>78078872</v>
      </c>
      <c r="B10" s="53" t="s">
        <v>61</v>
      </c>
      <c r="C10" s="49">
        <v>894</v>
      </c>
      <c r="D10" s="49" t="s">
        <v>54</v>
      </c>
      <c r="E10" s="49" t="s">
        <v>62</v>
      </c>
      <c r="F10" s="107">
        <v>5000000</v>
      </c>
      <c r="G10" s="49" t="s">
        <v>63</v>
      </c>
      <c r="H10" s="49" t="s">
        <v>64</v>
      </c>
      <c r="I10" s="50">
        <v>0</v>
      </c>
      <c r="J10" s="50">
        <v>0.01</v>
      </c>
      <c r="K10" s="50">
        <v>0</v>
      </c>
      <c r="L10" s="50">
        <v>0.02</v>
      </c>
      <c r="M10" s="50">
        <v>0</v>
      </c>
      <c r="N10" s="49">
        <f>IF(Tabla5[[#This Row],[VALOR INVERSIÓN]]="","",IF(Tabla5[[#This Row],[VALOR INVERSIÓN]]&lt;=10000000,100%*10%*22000,IF(AND(Tabla5[[#This Row],[VALOR INVERSIÓN]]&gt;10000000,Tabla5[[#This Row],[VALOR INVERSIÓN]]&lt;=20000000),60%*10%*22000,20%*10%*22000)))</f>
        <v>2200</v>
      </c>
      <c r="O10" s="49" t="str">
        <f>IF(Tabla5[[#This Row],[ROI (MESES)]]="","",IF(Tabla5[[#This Row],[ROI (MESES)]]="N/A","0",IF(Tabla5[[#This Row],[ROI (MESES)]]="&lt;=3",100%*10%*22000,IF(Tabla5[[#This Row],[ROI (MESES)]]="&gt;3&lt;=6",75%*10%*22000,25%*10%*22000))))</f>
        <v>0</v>
      </c>
      <c r="P10" s="49">
        <f>IF(Tabla5[[#This Row],[FACILIDAD IMPLEM.]]="","",IF(Tabla5[[#This Row],[FACILIDAD IMPLEM.]]="A",100%*10%*22000,IF(AND(Tabla5[[#This Row],[FACILIDAD IMPLEM.]]="B"),50%*10%*22000,20%*10%*22000)))</f>
        <v>440.00000000000011</v>
      </c>
      <c r="Q10" s="49">
        <f>Tabla5[[#This Row],[IMPACTO AMBIENTAL (Máx. 25%)]]*70%*22000+Tabla5[[#This Row],[IMPACTO ECONÓMICO (Máx. 25%)]]*70%*22000+Tabla5[[#This Row],[IMPACTO SST (Máx. 20%)]]*70%*22000+Tabla5[[#This Row],[IMPACTO PRODUCTIVIDAD (Máx. 25%)]]*70%*22000+Tabla5[[#This Row],[IMPACTO ORDEN Y ASEO (Máx. 5%)]]*70%*22000</f>
        <v>461.99999999999989</v>
      </c>
      <c r="R10" s="49">
        <f>IFERROR(Tabla5[[#This Row],[PUNTOS VALOR INVERSIÓN]]+Tabla5[[#This Row],[PUNTOS ROI ]]+Tabla5[[#This Row],[PUNTOS FACILIDAD IMPLEM. ]]+Tabla5[[#This Row],[PUNTOS IMPACTO ]],"")</f>
        <v>3102</v>
      </c>
      <c r="S10" s="54"/>
      <c r="T10" s="91" t="s">
        <v>65</v>
      </c>
      <c r="U10" s="91" t="s">
        <v>66</v>
      </c>
      <c r="V10" s="54" t="s">
        <v>67</v>
      </c>
      <c r="W10" s="54" t="s">
        <v>68</v>
      </c>
      <c r="X10" s="91" t="s">
        <v>69</v>
      </c>
      <c r="Y10" s="49" t="s">
        <v>55</v>
      </c>
    </row>
    <row r="11" spans="1:25" ht="13.95" hidden="1" customHeight="1" x14ac:dyDescent="0.25">
      <c r="A11" s="47">
        <v>78078872</v>
      </c>
      <c r="B11" s="53" t="s">
        <v>61</v>
      </c>
      <c r="C11" s="49">
        <v>895</v>
      </c>
      <c r="D11" s="49" t="s">
        <v>54</v>
      </c>
      <c r="E11" s="49" t="s">
        <v>55</v>
      </c>
      <c r="F11" s="92"/>
      <c r="G11" s="49"/>
      <c r="H11" s="49"/>
      <c r="I11" s="50"/>
      <c r="J11" s="50"/>
      <c r="K11" s="50"/>
      <c r="L11" s="50"/>
      <c r="M11" s="50"/>
      <c r="N11" s="49" t="str">
        <f>IF(Tabla5[[#This Row],[VALOR INVERSIÓN]]="","",IF(Tabla5[[#This Row],[VALOR INVERSIÓN]]&lt;=10000000,100%*10%*22000,IF(AND(Tabla5[[#This Row],[VALOR INVERSIÓN]]&gt;10000000,Tabla5[[#This Row],[VALOR INVERSIÓN]]&lt;=20000000),60%*10%*22000,20%*10%*22000)))</f>
        <v/>
      </c>
      <c r="O11" s="49" t="str">
        <f>IF(Tabla5[[#This Row],[ROI (MESES)]]="","",IF(Tabla5[[#This Row],[ROI (MESES)]]="N/A","0",IF(Tabla5[[#This Row],[ROI (MESES)]]="&lt;=3",100%*10%*22000,IF(Tabla5[[#This Row],[ROI (MESES)]]="&gt;3&lt;=6",75%*10%*22000,25%*10%*22000))))</f>
        <v/>
      </c>
      <c r="P11" s="49" t="str">
        <f>IF(Tabla5[[#This Row],[FACILIDAD IMPLEM.]]="","",IF(Tabla5[[#This Row],[FACILIDAD IMPLEM.]]="A",100%*10%*22000,IF(AND(Tabla5[[#This Row],[FACILIDAD IMPLEM.]]="B"),50%*10%*22000,20%*10%*22000)))</f>
        <v/>
      </c>
      <c r="Q11" s="49">
        <f>Tabla5[[#This Row],[IMPACTO AMBIENTAL (Máx. 25%)]]*70%*22000+Tabla5[[#This Row],[IMPACTO ECONÓMICO (Máx. 25%)]]*70%*22000+Tabla5[[#This Row],[IMPACTO SST (Máx. 20%)]]*70%*22000+Tabla5[[#This Row],[IMPACTO PRODUCTIVIDAD (Máx. 25%)]]*70%*22000+Tabla5[[#This Row],[IMPACTO ORDEN Y ASEO (Máx. 5%)]]*70%*22000</f>
        <v>0</v>
      </c>
      <c r="R11" s="49" t="str">
        <f>IFERROR(Tabla5[[#This Row],[PUNTOS VALOR INVERSIÓN]]+Tabla5[[#This Row],[PUNTOS ROI ]]+Tabla5[[#This Row],[PUNTOS FACILIDAD IMPLEM. ]]+Tabla5[[#This Row],[PUNTOS IMPACTO ]],"")</f>
        <v/>
      </c>
      <c r="S11" s="54"/>
      <c r="T11" s="91"/>
      <c r="U11" s="91"/>
      <c r="V11" s="54"/>
      <c r="W11" s="54"/>
      <c r="X11" s="49"/>
      <c r="Y11" s="49"/>
    </row>
    <row r="12" spans="1:25" ht="13.95" hidden="1" customHeight="1" x14ac:dyDescent="0.25">
      <c r="A12" s="47">
        <v>1110570952</v>
      </c>
      <c r="B12" s="53" t="s">
        <v>70</v>
      </c>
      <c r="C12" s="49">
        <v>949</v>
      </c>
      <c r="D12" s="49" t="s">
        <v>54</v>
      </c>
      <c r="E12" s="49" t="s">
        <v>55</v>
      </c>
      <c r="F12" s="92"/>
      <c r="G12" s="49"/>
      <c r="H12" s="49"/>
      <c r="I12" s="50"/>
      <c r="J12" s="50"/>
      <c r="K12" s="50"/>
      <c r="L12" s="50"/>
      <c r="M12" s="50"/>
      <c r="N12" s="49" t="str">
        <f>IF(Tabla5[[#This Row],[VALOR INVERSIÓN]]="","",IF(Tabla5[[#This Row],[VALOR INVERSIÓN]]&lt;=10000000,100%*10%*22000,IF(AND(Tabla5[[#This Row],[VALOR INVERSIÓN]]&gt;10000000,Tabla5[[#This Row],[VALOR INVERSIÓN]]&lt;=20000000),60%*10%*22000,20%*10%*22000)))</f>
        <v/>
      </c>
      <c r="O12" s="49" t="str">
        <f>IF(Tabla5[[#This Row],[ROI (MESES)]]="","",IF(Tabla5[[#This Row],[ROI (MESES)]]="N/A","0",IF(Tabla5[[#This Row],[ROI (MESES)]]="&lt;=3",100%*10%*22000,IF(Tabla5[[#This Row],[ROI (MESES)]]="&gt;3&lt;=6",75%*10%*22000,25%*10%*22000))))</f>
        <v/>
      </c>
      <c r="P12" s="49" t="str">
        <f>IF(Tabla5[[#This Row],[FACILIDAD IMPLEM.]]="","",IF(Tabla5[[#This Row],[FACILIDAD IMPLEM.]]="A",100%*10%*22000,IF(AND(Tabla5[[#This Row],[FACILIDAD IMPLEM.]]="B"),50%*10%*22000,20%*10%*22000)))</f>
        <v/>
      </c>
      <c r="Q12" s="49">
        <f>Tabla5[[#This Row],[IMPACTO AMBIENTAL (Máx. 25%)]]*70%*22000+Tabla5[[#This Row],[IMPACTO ECONÓMICO (Máx. 25%)]]*70%*22000+Tabla5[[#This Row],[IMPACTO SST (Máx. 20%)]]*70%*22000+Tabla5[[#This Row],[IMPACTO PRODUCTIVIDAD (Máx. 25%)]]*70%*22000+Tabla5[[#This Row],[IMPACTO ORDEN Y ASEO (Máx. 5%)]]*70%*22000</f>
        <v>0</v>
      </c>
      <c r="R12" s="49" t="str">
        <f>IFERROR(Tabla5[[#This Row],[PUNTOS VALOR INVERSIÓN]]+Tabla5[[#This Row],[PUNTOS ROI ]]+Tabla5[[#This Row],[PUNTOS FACILIDAD IMPLEM. ]]+Tabla5[[#This Row],[PUNTOS IMPACTO ]],"")</f>
        <v/>
      </c>
      <c r="S12" s="54"/>
      <c r="T12" s="91"/>
      <c r="U12" s="91"/>
      <c r="V12" s="54"/>
      <c r="W12" s="54"/>
      <c r="X12" s="49"/>
      <c r="Y12" s="49"/>
    </row>
    <row r="13" spans="1:25" ht="41.4" x14ac:dyDescent="0.25">
      <c r="A13" s="47">
        <v>71690439</v>
      </c>
      <c r="B13" s="53" t="s">
        <v>71</v>
      </c>
      <c r="C13" s="49">
        <v>963</v>
      </c>
      <c r="D13" s="49" t="s">
        <v>72</v>
      </c>
      <c r="E13" s="49" t="s">
        <v>62</v>
      </c>
      <c r="F13" s="107">
        <v>1000000</v>
      </c>
      <c r="G13" s="49" t="s">
        <v>63</v>
      </c>
      <c r="H13" s="49" t="s">
        <v>73</v>
      </c>
      <c r="I13" s="50">
        <v>0</v>
      </c>
      <c r="J13" s="50">
        <v>2.5000000000000001E-2</v>
      </c>
      <c r="K13" s="50">
        <v>0</v>
      </c>
      <c r="L13" s="50">
        <v>0</v>
      </c>
      <c r="M13" s="50">
        <v>0</v>
      </c>
      <c r="N13" s="49">
        <f>IF(Tabla5[[#This Row],[VALOR INVERSIÓN]]="","",IF(Tabla5[[#This Row],[VALOR INVERSIÓN]]&lt;=10000000,100%*10%*22000,IF(AND(Tabla5[[#This Row],[VALOR INVERSIÓN]]&gt;10000000,Tabla5[[#This Row],[VALOR INVERSIÓN]]&lt;=20000000),60%*10%*22000,20%*10%*22000)))</f>
        <v>2200</v>
      </c>
      <c r="O13" s="49" t="str">
        <f>IF(Tabla5[[#This Row],[ROI (MESES)]]="","",IF(Tabla5[[#This Row],[ROI (MESES)]]="N/A","0",IF(Tabla5[[#This Row],[ROI (MESES)]]="&lt;=3",100%*10%*22000,IF(Tabla5[[#This Row],[ROI (MESES)]]="&gt;3&lt;=6",75%*10%*22000,25%*10%*22000))))</f>
        <v>0</v>
      </c>
      <c r="P13" s="49">
        <f>IF(Tabla5[[#This Row],[FACILIDAD IMPLEM.]]="","",IF(Tabla5[[#This Row],[FACILIDAD IMPLEM.]]="A",100%*10%*22000,IF(AND(Tabla5[[#This Row],[FACILIDAD IMPLEM.]]="B"),50%*10%*22000,20%*10%*22000)))</f>
        <v>2200</v>
      </c>
      <c r="Q13" s="49">
        <f>Tabla5[[#This Row],[IMPACTO AMBIENTAL (Máx. 25%)]]*70%*22000+Tabla5[[#This Row],[IMPACTO ECONÓMICO (Máx. 25%)]]*70%*22000+Tabla5[[#This Row],[IMPACTO SST (Máx. 20%)]]*70%*22000+Tabla5[[#This Row],[IMPACTO PRODUCTIVIDAD (Máx. 25%)]]*70%*22000+Tabla5[[#This Row],[IMPACTO ORDEN Y ASEO (Máx. 5%)]]*70%*22000</f>
        <v>384.99999999999994</v>
      </c>
      <c r="R13" s="49">
        <f>IFERROR(Tabla5[[#This Row],[PUNTOS VALOR INVERSIÓN]]+Tabla5[[#This Row],[PUNTOS ROI ]]+Tabla5[[#This Row],[PUNTOS FACILIDAD IMPLEM. ]]+Tabla5[[#This Row],[PUNTOS IMPACTO ]],"")</f>
        <v>4785</v>
      </c>
      <c r="S13" s="95"/>
      <c r="T13" s="91" t="s">
        <v>65</v>
      </c>
      <c r="U13" s="91" t="s">
        <v>66</v>
      </c>
      <c r="V13" s="54" t="s">
        <v>74</v>
      </c>
      <c r="W13" s="54" t="s">
        <v>75</v>
      </c>
      <c r="X13" s="91" t="s">
        <v>76</v>
      </c>
      <c r="Y13" s="49" t="s">
        <v>77</v>
      </c>
    </row>
    <row r="14" spans="1:25" ht="55.2" x14ac:dyDescent="0.25">
      <c r="A14" s="47">
        <v>71690439</v>
      </c>
      <c r="B14" s="53" t="s">
        <v>71</v>
      </c>
      <c r="C14" s="49">
        <v>964</v>
      </c>
      <c r="D14" s="49" t="s">
        <v>72</v>
      </c>
      <c r="E14" s="49" t="s">
        <v>62</v>
      </c>
      <c r="F14" s="107">
        <v>1000000</v>
      </c>
      <c r="G14" s="49" t="s">
        <v>63</v>
      </c>
      <c r="H14" s="49" t="s">
        <v>78</v>
      </c>
      <c r="I14" s="50">
        <v>0</v>
      </c>
      <c r="J14" s="50">
        <v>0.05</v>
      </c>
      <c r="K14" s="50">
        <v>0.12</v>
      </c>
      <c r="L14" s="50">
        <v>0</v>
      </c>
      <c r="M14" s="50">
        <v>0</v>
      </c>
      <c r="N14" s="49">
        <f>IF(Tabla5[[#This Row],[VALOR INVERSIÓN]]="","",IF(Tabla5[[#This Row],[VALOR INVERSIÓN]]&lt;=10000000,100%*10%*22000,IF(AND(Tabla5[[#This Row],[VALOR INVERSIÓN]]&gt;10000000,Tabla5[[#This Row],[VALOR INVERSIÓN]]&lt;=20000000),60%*10%*22000,20%*10%*22000)))</f>
        <v>2200</v>
      </c>
      <c r="O14" s="49" t="str">
        <f>IF(Tabla5[[#This Row],[ROI (MESES)]]="","",IF(Tabla5[[#This Row],[ROI (MESES)]]="N/A","0",IF(Tabla5[[#This Row],[ROI (MESES)]]="&lt;=3",100%*10%*22000,IF(Tabla5[[#This Row],[ROI (MESES)]]="&gt;3&lt;=6",75%*10%*22000,25%*10%*22000))))</f>
        <v>0</v>
      </c>
      <c r="P14" s="49">
        <f>IF(Tabla5[[#This Row],[FACILIDAD IMPLEM.]]="","",IF(Tabla5[[#This Row],[FACILIDAD IMPLEM.]]="A",100%*10%*22000,IF(AND(Tabla5[[#This Row],[FACILIDAD IMPLEM.]]="B"),50%*10%*22000,20%*10%*22000)))</f>
        <v>1100</v>
      </c>
      <c r="Q14" s="49">
        <f>Tabla5[[#This Row],[IMPACTO AMBIENTAL (Máx. 25%)]]*70%*22000+Tabla5[[#This Row],[IMPACTO ECONÓMICO (Máx. 25%)]]*70%*22000+Tabla5[[#This Row],[IMPACTO SST (Máx. 20%)]]*70%*22000+Tabla5[[#This Row],[IMPACTO PRODUCTIVIDAD (Máx. 25%)]]*70%*22000+Tabla5[[#This Row],[IMPACTO ORDEN Y ASEO (Máx. 5%)]]*70%*22000</f>
        <v>2617.9999999999995</v>
      </c>
      <c r="R14" s="49">
        <f>IFERROR(Tabla5[[#This Row],[PUNTOS VALOR INVERSIÓN]]+Tabla5[[#This Row],[PUNTOS ROI ]]+Tabla5[[#This Row],[PUNTOS FACILIDAD IMPLEM. ]]+Tabla5[[#This Row],[PUNTOS IMPACTO ]],"")</f>
        <v>5918</v>
      </c>
      <c r="S14" s="54"/>
      <c r="T14" s="91" t="s">
        <v>79</v>
      </c>
      <c r="U14" s="91" t="s">
        <v>66</v>
      </c>
      <c r="V14" s="54" t="s">
        <v>80</v>
      </c>
      <c r="W14" s="54" t="s">
        <v>81</v>
      </c>
      <c r="X14" s="91" t="s">
        <v>69</v>
      </c>
      <c r="Y14" s="49" t="s">
        <v>55</v>
      </c>
    </row>
    <row r="15" spans="1:25" ht="27.6" x14ac:dyDescent="0.25">
      <c r="A15" s="47">
        <v>1047413742</v>
      </c>
      <c r="B15" s="53" t="s">
        <v>82</v>
      </c>
      <c r="C15" s="49">
        <v>972</v>
      </c>
      <c r="D15" s="49" t="s">
        <v>72</v>
      </c>
      <c r="E15" s="49" t="s">
        <v>62</v>
      </c>
      <c r="F15" s="107">
        <v>10000000</v>
      </c>
      <c r="G15" s="49" t="s">
        <v>83</v>
      </c>
      <c r="H15" s="49" t="s">
        <v>64</v>
      </c>
      <c r="I15" s="50">
        <v>0</v>
      </c>
      <c r="J15" s="50">
        <v>0.05</v>
      </c>
      <c r="K15" s="50">
        <v>0</v>
      </c>
      <c r="L15" s="50">
        <v>0</v>
      </c>
      <c r="M15" s="50">
        <v>0</v>
      </c>
      <c r="N15" s="49">
        <f>IF(Tabla5[[#This Row],[VALOR INVERSIÓN]]="","",IF(Tabla5[[#This Row],[VALOR INVERSIÓN]]&lt;=10000000,100%*10%*22000,IF(AND(Tabla5[[#This Row],[VALOR INVERSIÓN]]&gt;10000000,Tabla5[[#This Row],[VALOR INVERSIÓN]]&lt;=20000000),60%*10%*22000,20%*10%*22000)))</f>
        <v>2200</v>
      </c>
      <c r="O15" s="49">
        <f>IF(Tabla5[[#This Row],[ROI (MESES)]]="","",IF(Tabla5[[#This Row],[ROI (MESES)]]="N/A","0",IF(Tabla5[[#This Row],[ROI (MESES)]]="&lt;=3",100%*10%*22000,IF(Tabla5[[#This Row],[ROI (MESES)]]="&gt;3&lt;=6",75%*10%*22000,25%*10%*22000))))</f>
        <v>550</v>
      </c>
      <c r="P15" s="49">
        <f>IF(Tabla5[[#This Row],[FACILIDAD IMPLEM.]]="","",IF(Tabla5[[#This Row],[FACILIDAD IMPLEM.]]="A",100%*10%*22000,IF(AND(Tabla5[[#This Row],[FACILIDAD IMPLEM.]]="B"),50%*10%*22000,20%*10%*22000)))</f>
        <v>440.00000000000011</v>
      </c>
      <c r="Q15" s="49">
        <f>Tabla5[[#This Row],[IMPACTO AMBIENTAL (Máx. 25%)]]*70%*22000+Tabla5[[#This Row],[IMPACTO ECONÓMICO (Máx. 25%)]]*70%*22000+Tabla5[[#This Row],[IMPACTO SST (Máx. 20%)]]*70%*22000+Tabla5[[#This Row],[IMPACTO PRODUCTIVIDAD (Máx. 25%)]]*70%*22000+Tabla5[[#This Row],[IMPACTO ORDEN Y ASEO (Máx. 5%)]]*70%*22000</f>
        <v>769.99999999999989</v>
      </c>
      <c r="R15" s="49">
        <f>IFERROR(Tabla5[[#This Row],[PUNTOS VALOR INVERSIÓN]]+Tabla5[[#This Row],[PUNTOS ROI ]]+Tabla5[[#This Row],[PUNTOS FACILIDAD IMPLEM. ]]+Tabla5[[#This Row],[PUNTOS IMPACTO ]],"")</f>
        <v>3960</v>
      </c>
      <c r="S15" s="54"/>
      <c r="T15" s="91" t="s">
        <v>65</v>
      </c>
      <c r="U15" s="91" t="s">
        <v>84</v>
      </c>
      <c r="V15" s="54" t="s">
        <v>85</v>
      </c>
      <c r="W15" s="54" t="s">
        <v>86</v>
      </c>
      <c r="X15" s="91"/>
      <c r="Y15" s="49" t="s">
        <v>55</v>
      </c>
    </row>
    <row r="16" spans="1:25" ht="13.95" hidden="1" customHeight="1" x14ac:dyDescent="0.25">
      <c r="A16" s="47">
        <v>1110570952</v>
      </c>
      <c r="B16" s="53" t="s">
        <v>70</v>
      </c>
      <c r="C16" s="49">
        <v>977</v>
      </c>
      <c r="D16" s="49" t="s">
        <v>54</v>
      </c>
      <c r="E16" s="49" t="s">
        <v>55</v>
      </c>
      <c r="F16" s="92"/>
      <c r="G16" s="49"/>
      <c r="H16" s="49"/>
      <c r="I16" s="50"/>
      <c r="J16" s="50"/>
      <c r="K16" s="50"/>
      <c r="L16" s="50"/>
      <c r="M16" s="50"/>
      <c r="N16" s="49" t="str">
        <f>IF(Tabla5[[#This Row],[VALOR INVERSIÓN]]="","",IF(Tabla5[[#This Row],[VALOR INVERSIÓN]]&lt;=10000000,100%*10%*22000,IF(AND(Tabla5[[#This Row],[VALOR INVERSIÓN]]&gt;10000000,Tabla5[[#This Row],[VALOR INVERSIÓN]]&lt;=20000000),60%*10%*22000,20%*10%*22000)))</f>
        <v/>
      </c>
      <c r="O16" s="49" t="str">
        <f>IF(Tabla5[[#This Row],[ROI (MESES)]]="","",IF(Tabla5[[#This Row],[ROI (MESES)]]="N/A","0",IF(Tabla5[[#This Row],[ROI (MESES)]]="&lt;=3",100%*10%*22000,IF(Tabla5[[#This Row],[ROI (MESES)]]="&gt;3&lt;=6",75%*10%*22000,25%*10%*22000))))</f>
        <v/>
      </c>
      <c r="P16" s="49" t="str">
        <f>IF(Tabla5[[#This Row],[FACILIDAD IMPLEM.]]="","",IF(Tabla5[[#This Row],[FACILIDAD IMPLEM.]]="A",100%*10%*22000,IF(AND(Tabla5[[#This Row],[FACILIDAD IMPLEM.]]="B"),50%*10%*22000,20%*10%*22000)))</f>
        <v/>
      </c>
      <c r="Q16" s="49">
        <f>Tabla5[[#This Row],[IMPACTO AMBIENTAL (Máx. 25%)]]*70%*22000+Tabla5[[#This Row],[IMPACTO ECONÓMICO (Máx. 25%)]]*70%*22000+Tabla5[[#This Row],[IMPACTO SST (Máx. 20%)]]*70%*22000+Tabla5[[#This Row],[IMPACTO PRODUCTIVIDAD (Máx. 25%)]]*70%*22000+Tabla5[[#This Row],[IMPACTO ORDEN Y ASEO (Máx. 5%)]]*70%*22000</f>
        <v>0</v>
      </c>
      <c r="R16" s="49" t="str">
        <f>IFERROR(Tabla5[[#This Row],[PUNTOS VALOR INVERSIÓN]]+Tabla5[[#This Row],[PUNTOS ROI ]]+Tabla5[[#This Row],[PUNTOS FACILIDAD IMPLEM. ]]+Tabla5[[#This Row],[PUNTOS IMPACTO ]],"")</f>
        <v/>
      </c>
      <c r="S16" s="54"/>
      <c r="T16" s="91"/>
      <c r="U16" s="91"/>
      <c r="V16" s="54"/>
      <c r="W16" s="54"/>
      <c r="X16" s="49"/>
      <c r="Y16" s="49"/>
    </row>
    <row r="17" spans="1:25" ht="55.2" hidden="1" customHeight="1" x14ac:dyDescent="0.25">
      <c r="A17" s="47">
        <v>1001812262</v>
      </c>
      <c r="B17" s="53" t="s">
        <v>53</v>
      </c>
      <c r="C17" s="49">
        <v>4866</v>
      </c>
      <c r="D17" s="49" t="s">
        <v>54</v>
      </c>
      <c r="E17" s="49" t="s">
        <v>55</v>
      </c>
      <c r="F17" s="90"/>
      <c r="G17" s="49"/>
      <c r="H17" s="49"/>
      <c r="I17" s="51"/>
      <c r="J17" s="51"/>
      <c r="K17" s="51"/>
      <c r="L17" s="51"/>
      <c r="M17" s="51"/>
      <c r="N17" s="49" t="str">
        <f>IF(Tabla5[[#This Row],[VALOR INVERSIÓN]]="","",IF(Tabla5[[#This Row],[VALOR INVERSIÓN]]&lt;=10000000,100%*10%*22000,IF(AND(Tabla5[[#This Row],[VALOR INVERSIÓN]]&gt;10000000,Tabla5[[#This Row],[VALOR INVERSIÓN]]&lt;=20000000),60%*10%*22000,20%*10%*22000)))</f>
        <v/>
      </c>
      <c r="O17" s="49" t="str">
        <f>IF(Tabla5[[#This Row],[ROI (MESES)]]="","",IF(Tabla5[[#This Row],[ROI (MESES)]]="N/A","0",IF(Tabla5[[#This Row],[ROI (MESES)]]="&lt;=3",100%*10%*22000,IF(Tabla5[[#This Row],[ROI (MESES)]]="&gt;3&lt;=6",75%*10%*22000,25%*10%*22000))))</f>
        <v/>
      </c>
      <c r="P17" s="49" t="str">
        <f>IF(Tabla5[[#This Row],[FACILIDAD IMPLEM.]]="","",IF(Tabla5[[#This Row],[FACILIDAD IMPLEM.]]="A",100%*10%*22000,IF(AND(Tabla5[[#This Row],[FACILIDAD IMPLEM.]]="B"),50%*10%*22000,20%*10%*22000)))</f>
        <v/>
      </c>
      <c r="Q17" s="49">
        <f>Tabla5[[#This Row],[IMPACTO AMBIENTAL (Máx. 25%)]]*70%*22000+Tabla5[[#This Row],[IMPACTO ECONÓMICO (Máx. 25%)]]*70%*22000+Tabla5[[#This Row],[IMPACTO SST (Máx. 20%)]]*70%*22000+Tabla5[[#This Row],[IMPACTO PRODUCTIVIDAD (Máx. 25%)]]*70%*22000+Tabla5[[#This Row],[IMPACTO ORDEN Y ASEO (Máx. 5%)]]*70%*22000</f>
        <v>0</v>
      </c>
      <c r="R17" s="49" t="str">
        <f>IFERROR(Tabla5[[#This Row],[PUNTOS VALOR INVERSIÓN]]+Tabla5[[#This Row],[PUNTOS ROI ]]+Tabla5[[#This Row],[PUNTOS FACILIDAD IMPLEM. ]]+Tabla5[[#This Row],[PUNTOS IMPACTO ]],"")</f>
        <v/>
      </c>
      <c r="S17" s="54" t="s">
        <v>87</v>
      </c>
      <c r="T17" s="91"/>
      <c r="U17" s="91"/>
      <c r="V17" s="54"/>
      <c r="W17" s="54"/>
      <c r="X17" s="49"/>
      <c r="Y17" s="49"/>
    </row>
    <row r="18" spans="1:25" s="48" customFormat="1" x14ac:dyDescent="0.3">
      <c r="A18" s="47">
        <v>1001415647</v>
      </c>
      <c r="B18" s="53" t="s">
        <v>88</v>
      </c>
      <c r="C18" s="49">
        <v>7424</v>
      </c>
      <c r="D18" s="49" t="s">
        <v>54</v>
      </c>
      <c r="E18" s="49" t="s">
        <v>62</v>
      </c>
      <c r="F18" s="107">
        <v>3000000</v>
      </c>
      <c r="G18" s="49" t="s">
        <v>83</v>
      </c>
      <c r="H18" s="49" t="s">
        <v>73</v>
      </c>
      <c r="I18" s="50">
        <v>0</v>
      </c>
      <c r="J18" s="50">
        <v>0</v>
      </c>
      <c r="K18" s="50">
        <v>0.12</v>
      </c>
      <c r="L18" s="50">
        <v>0</v>
      </c>
      <c r="M18" s="50">
        <v>0.02</v>
      </c>
      <c r="N18" s="49">
        <f>IF(Tabla5[[#This Row],[VALOR INVERSIÓN]]="","",IF(Tabla5[[#This Row],[VALOR INVERSIÓN]]&lt;=10000000,100%*10%*22000,IF(AND(Tabla5[[#This Row],[VALOR INVERSIÓN]]&gt;10000000,Tabla5[[#This Row],[VALOR INVERSIÓN]]&lt;=20000000),60%*10%*22000,20%*10%*22000)))</f>
        <v>2200</v>
      </c>
      <c r="O18" s="49">
        <f>IF(Tabla5[[#This Row],[ROI (MESES)]]="","",IF(Tabla5[[#This Row],[ROI (MESES)]]="N/A","0",IF(Tabla5[[#This Row],[ROI (MESES)]]="&lt;=3",100%*10%*22000,IF(Tabla5[[#This Row],[ROI (MESES)]]="&gt;3&lt;=6",75%*10%*22000,25%*10%*22000))))</f>
        <v>550</v>
      </c>
      <c r="P18" s="49">
        <f>IF(Tabla5[[#This Row],[FACILIDAD IMPLEM.]]="","",IF(Tabla5[[#This Row],[FACILIDAD IMPLEM.]]="A",100%*10%*22000,IF(AND(Tabla5[[#This Row],[FACILIDAD IMPLEM.]]="B"),50%*10%*22000,20%*10%*22000)))</f>
        <v>2200</v>
      </c>
      <c r="Q18" s="49">
        <f>Tabla5[[#This Row],[IMPACTO AMBIENTAL (Máx. 25%)]]*70%*22000+Tabla5[[#This Row],[IMPACTO ECONÓMICO (Máx. 25%)]]*70%*22000+Tabla5[[#This Row],[IMPACTO SST (Máx. 20%)]]*70%*22000+Tabla5[[#This Row],[IMPACTO PRODUCTIVIDAD (Máx. 25%)]]*70%*22000+Tabla5[[#This Row],[IMPACTO ORDEN Y ASEO (Máx. 5%)]]*70%*22000</f>
        <v>2155.9999999999995</v>
      </c>
      <c r="R18" s="49">
        <f>IFERROR(Tabla5[[#This Row],[PUNTOS VALOR INVERSIÓN]]+Tabla5[[#This Row],[PUNTOS ROI ]]+Tabla5[[#This Row],[PUNTOS FACILIDAD IMPLEM. ]]+Tabla5[[#This Row],[PUNTOS IMPACTO ]],"")</f>
        <v>7106</v>
      </c>
      <c r="S18" s="54"/>
      <c r="T18" s="91" t="s">
        <v>79</v>
      </c>
      <c r="U18" s="91" t="s">
        <v>89</v>
      </c>
      <c r="V18" s="54" t="s">
        <v>90</v>
      </c>
      <c r="W18" s="54" t="s">
        <v>91</v>
      </c>
      <c r="X18" s="91" t="s">
        <v>92</v>
      </c>
      <c r="Y18" s="49" t="s">
        <v>77</v>
      </c>
    </row>
    <row r="19" spans="1:25" s="48" customFormat="1" ht="27.6" x14ac:dyDescent="0.3">
      <c r="A19" s="47">
        <v>1026132871</v>
      </c>
      <c r="B19" s="53" t="s">
        <v>93</v>
      </c>
      <c r="C19" s="49">
        <v>8060</v>
      </c>
      <c r="D19" s="49" t="s">
        <v>94</v>
      </c>
      <c r="E19" s="49" t="s">
        <v>62</v>
      </c>
      <c r="F19" s="107">
        <v>5000000</v>
      </c>
      <c r="G19" s="49" t="s">
        <v>83</v>
      </c>
      <c r="H19" s="49" t="s">
        <v>78</v>
      </c>
      <c r="I19" s="50">
        <v>0</v>
      </c>
      <c r="J19" s="50">
        <v>0.04</v>
      </c>
      <c r="K19" s="50">
        <v>0</v>
      </c>
      <c r="L19" s="50">
        <v>0</v>
      </c>
      <c r="M19" s="50">
        <v>0</v>
      </c>
      <c r="N19" s="49">
        <f>IF(Tabla5[[#This Row],[VALOR INVERSIÓN]]="","",IF(Tabla5[[#This Row],[VALOR INVERSIÓN]]&lt;=10000000,100%*10%*22000,IF(AND(Tabla5[[#This Row],[VALOR INVERSIÓN]]&gt;10000000,Tabla5[[#This Row],[VALOR INVERSIÓN]]&lt;=20000000),60%*10%*22000,20%*10%*22000)))</f>
        <v>2200</v>
      </c>
      <c r="O19" s="49">
        <f>IF(Tabla5[[#This Row],[ROI (MESES)]]="","",IF(Tabla5[[#This Row],[ROI (MESES)]]="N/A","0",IF(Tabla5[[#This Row],[ROI (MESES)]]="&lt;=3",100%*10%*22000,IF(Tabla5[[#This Row],[ROI (MESES)]]="&gt;3&lt;=6",75%*10%*22000,25%*10%*22000))))</f>
        <v>550</v>
      </c>
      <c r="P19" s="49">
        <f>IF(Tabla5[[#This Row],[FACILIDAD IMPLEM.]]="","",IF(Tabla5[[#This Row],[FACILIDAD IMPLEM.]]="A",100%*10%*22000,IF(AND(Tabla5[[#This Row],[FACILIDAD IMPLEM.]]="B"),50%*10%*22000,20%*10%*22000)))</f>
        <v>1100</v>
      </c>
      <c r="Q19" s="49">
        <f>Tabla5[[#This Row],[IMPACTO AMBIENTAL (Máx. 25%)]]*70%*22000+Tabla5[[#This Row],[IMPACTO ECONÓMICO (Máx. 25%)]]*70%*22000+Tabla5[[#This Row],[IMPACTO SST (Máx. 20%)]]*70%*22000+Tabla5[[#This Row],[IMPACTO PRODUCTIVIDAD (Máx. 25%)]]*70%*22000+Tabla5[[#This Row],[IMPACTO ORDEN Y ASEO (Máx. 5%)]]*70%*22000</f>
        <v>615.99999999999989</v>
      </c>
      <c r="R19" s="49">
        <f>IFERROR(Tabla5[[#This Row],[PUNTOS VALOR INVERSIÓN]]+Tabla5[[#This Row],[PUNTOS ROI ]]+Tabla5[[#This Row],[PUNTOS FACILIDAD IMPLEM. ]]+Tabla5[[#This Row],[PUNTOS IMPACTO ]],"")</f>
        <v>4466</v>
      </c>
      <c r="S19" s="54" t="s">
        <v>95</v>
      </c>
      <c r="T19" s="91" t="s">
        <v>94</v>
      </c>
      <c r="U19" s="91" t="s">
        <v>89</v>
      </c>
      <c r="V19" s="54" t="s">
        <v>96</v>
      </c>
      <c r="W19" s="54" t="s">
        <v>97</v>
      </c>
      <c r="X19" s="91" t="s">
        <v>98</v>
      </c>
      <c r="Y19" s="49" t="s">
        <v>77</v>
      </c>
    </row>
    <row r="20" spans="1:25" s="48" customFormat="1" ht="55.2" x14ac:dyDescent="0.3">
      <c r="A20" s="47">
        <v>71175113</v>
      </c>
      <c r="B20" s="53" t="s">
        <v>99</v>
      </c>
      <c r="C20" s="49">
        <v>4951</v>
      </c>
      <c r="D20" s="49" t="s">
        <v>54</v>
      </c>
      <c r="E20" s="49" t="s">
        <v>62</v>
      </c>
      <c r="F20" s="107">
        <v>500000</v>
      </c>
      <c r="G20" s="49" t="s">
        <v>100</v>
      </c>
      <c r="H20" s="49" t="s">
        <v>73</v>
      </c>
      <c r="I20" s="51">
        <v>0</v>
      </c>
      <c r="J20" s="51">
        <v>0</v>
      </c>
      <c r="K20" s="51">
        <v>0.08</v>
      </c>
      <c r="L20" s="51">
        <v>0</v>
      </c>
      <c r="M20" s="51">
        <v>0</v>
      </c>
      <c r="N20" s="49">
        <f>IF(Tabla5[[#This Row],[VALOR INVERSIÓN]]="","",IF(Tabla5[[#This Row],[VALOR INVERSIÓN]]&lt;=10000000,100%*10%*22000,IF(AND(Tabla5[[#This Row],[VALOR INVERSIÓN]]&gt;10000000,Tabla5[[#This Row],[VALOR INVERSIÓN]]&lt;=20000000),60%*10%*22000,20%*10%*22000)))</f>
        <v>2200</v>
      </c>
      <c r="O20" s="49">
        <f>IF(Tabla5[[#This Row],[ROI (MESES)]]="","",IF(Tabla5[[#This Row],[ROI (MESES)]]="N/A","0",IF(Tabla5[[#This Row],[ROI (MESES)]]="&lt;=3",100%*10%*22000,IF(Tabla5[[#This Row],[ROI (MESES)]]="&gt;3&lt;=6",75%*10%*22000,25%*10%*22000))))</f>
        <v>2200</v>
      </c>
      <c r="P20" s="49">
        <f>IF(Tabla5[[#This Row],[FACILIDAD IMPLEM.]]="","",IF(Tabla5[[#This Row],[FACILIDAD IMPLEM.]]="A",100%*10%*22000,IF(AND(Tabla5[[#This Row],[FACILIDAD IMPLEM.]]="B"),50%*10%*22000,20%*10%*22000)))</f>
        <v>2200</v>
      </c>
      <c r="Q20" s="49">
        <f>Tabla5[[#This Row],[IMPACTO AMBIENTAL (Máx. 25%)]]*70%*22000+Tabla5[[#This Row],[IMPACTO ECONÓMICO (Máx. 25%)]]*70%*22000+Tabla5[[#This Row],[IMPACTO SST (Máx. 20%)]]*70%*22000+Tabla5[[#This Row],[IMPACTO PRODUCTIVIDAD (Máx. 25%)]]*70%*22000+Tabla5[[#This Row],[IMPACTO ORDEN Y ASEO (Máx. 5%)]]*70%*22000</f>
        <v>1231.9999999999998</v>
      </c>
      <c r="R20" s="49">
        <f>IFERROR(Tabla5[[#This Row],[PUNTOS VALOR INVERSIÓN]]+Tabla5[[#This Row],[PUNTOS ROI ]]+Tabla5[[#This Row],[PUNTOS FACILIDAD IMPLEM. ]]+Tabla5[[#This Row],[PUNTOS IMPACTO ]],"")</f>
        <v>7832</v>
      </c>
      <c r="S20" s="54" t="s">
        <v>101</v>
      </c>
      <c r="T20" s="91" t="s">
        <v>79</v>
      </c>
      <c r="U20" s="91" t="s">
        <v>89</v>
      </c>
      <c r="V20" s="54" t="s">
        <v>102</v>
      </c>
      <c r="W20" s="54" t="s">
        <v>103</v>
      </c>
      <c r="X20" s="91" t="s">
        <v>104</v>
      </c>
      <c r="Y20" s="49" t="s">
        <v>105</v>
      </c>
    </row>
    <row r="21" spans="1:25" s="48" customFormat="1" ht="27.6" customHeight="1" x14ac:dyDescent="0.3">
      <c r="A21" s="47">
        <v>1035913083</v>
      </c>
      <c r="B21" s="53" t="s">
        <v>106</v>
      </c>
      <c r="C21" s="49">
        <v>5469</v>
      </c>
      <c r="D21" s="49" t="s">
        <v>54</v>
      </c>
      <c r="E21" s="49" t="s">
        <v>62</v>
      </c>
      <c r="F21" s="107">
        <v>1000000</v>
      </c>
      <c r="G21" s="49" t="s">
        <v>63</v>
      </c>
      <c r="H21" s="49" t="s">
        <v>73</v>
      </c>
      <c r="I21" s="50">
        <v>0</v>
      </c>
      <c r="J21" s="50">
        <v>0</v>
      </c>
      <c r="K21" s="50">
        <v>0.03</v>
      </c>
      <c r="L21" s="50">
        <v>0</v>
      </c>
      <c r="M21" s="50">
        <v>0</v>
      </c>
      <c r="N21" s="49">
        <f>IF(Tabla5[[#This Row],[VALOR INVERSIÓN]]="","",IF(Tabla5[[#This Row],[VALOR INVERSIÓN]]&lt;=10000000,100%*10%*22000,IF(AND(Tabla5[[#This Row],[VALOR INVERSIÓN]]&gt;10000000,Tabla5[[#This Row],[VALOR INVERSIÓN]]&lt;=20000000),60%*10%*22000,20%*10%*22000)))</f>
        <v>2200</v>
      </c>
      <c r="O21" s="49" t="str">
        <f>IF(Tabla5[[#This Row],[ROI (MESES)]]="","",IF(Tabla5[[#This Row],[ROI (MESES)]]="N/A","0",IF(Tabla5[[#This Row],[ROI (MESES)]]="&lt;=3",100%*10%*22000,IF(Tabla5[[#This Row],[ROI (MESES)]]="&gt;3&lt;=6",75%*10%*22000,25%*10%*22000))))</f>
        <v>0</v>
      </c>
      <c r="P21" s="49">
        <f>IF(Tabla5[[#This Row],[FACILIDAD IMPLEM.]]="","",IF(Tabla5[[#This Row],[FACILIDAD IMPLEM.]]="A",100%*10%*22000,IF(AND(Tabla5[[#This Row],[FACILIDAD IMPLEM.]]="B"),50%*10%*22000,20%*10%*22000)))</f>
        <v>2200</v>
      </c>
      <c r="Q21" s="49">
        <f>Tabla5[[#This Row],[IMPACTO AMBIENTAL (Máx. 25%)]]*70%*22000+Tabla5[[#This Row],[IMPACTO ECONÓMICO (Máx. 25%)]]*70%*22000+Tabla5[[#This Row],[IMPACTO SST (Máx. 20%)]]*70%*22000+Tabla5[[#This Row],[IMPACTO PRODUCTIVIDAD (Máx. 25%)]]*70%*22000+Tabla5[[#This Row],[IMPACTO ORDEN Y ASEO (Máx. 5%)]]*70%*22000</f>
        <v>461.99999999999994</v>
      </c>
      <c r="R21" s="49">
        <f>IFERROR(Tabla5[[#This Row],[PUNTOS VALOR INVERSIÓN]]+Tabla5[[#This Row],[PUNTOS ROI ]]+Tabla5[[#This Row],[PUNTOS FACILIDAD IMPLEM. ]]+Tabla5[[#This Row],[PUNTOS IMPACTO ]],"")</f>
        <v>4862</v>
      </c>
      <c r="S21" s="54" t="s">
        <v>107</v>
      </c>
      <c r="T21" s="91" t="s">
        <v>65</v>
      </c>
      <c r="U21" s="91" t="s">
        <v>84</v>
      </c>
      <c r="V21" s="54" t="s">
        <v>108</v>
      </c>
      <c r="W21" s="54" t="s">
        <v>109</v>
      </c>
      <c r="X21" s="91"/>
      <c r="Y21" s="49" t="s">
        <v>55</v>
      </c>
    </row>
    <row r="22" spans="1:25" ht="41.4" x14ac:dyDescent="0.25">
      <c r="A22" s="47">
        <v>1110570952</v>
      </c>
      <c r="B22" s="53" t="s">
        <v>70</v>
      </c>
      <c r="C22" s="49">
        <v>5470</v>
      </c>
      <c r="D22" s="49" t="s">
        <v>54</v>
      </c>
      <c r="E22" s="49" t="s">
        <v>62</v>
      </c>
      <c r="F22" s="107">
        <v>4000000</v>
      </c>
      <c r="G22" s="49" t="s">
        <v>63</v>
      </c>
      <c r="H22" s="49" t="s">
        <v>73</v>
      </c>
      <c r="I22" s="50">
        <v>0</v>
      </c>
      <c r="J22" s="50">
        <v>0</v>
      </c>
      <c r="K22" s="50">
        <v>7.0000000000000007E-2</v>
      </c>
      <c r="L22" s="50">
        <v>0</v>
      </c>
      <c r="M22" s="50">
        <v>0</v>
      </c>
      <c r="N22" s="49">
        <f>IF(Tabla5[[#This Row],[VALOR INVERSIÓN]]="","",IF(Tabla5[[#This Row],[VALOR INVERSIÓN]]&lt;=10000000,100%*10%*22000,IF(AND(Tabla5[[#This Row],[VALOR INVERSIÓN]]&gt;10000000,Tabla5[[#This Row],[VALOR INVERSIÓN]]&lt;=20000000),60%*10%*22000,20%*10%*22000)))</f>
        <v>2200</v>
      </c>
      <c r="O22" s="49" t="str">
        <f>IF(Tabla5[[#This Row],[ROI (MESES)]]="","",IF(Tabla5[[#This Row],[ROI (MESES)]]="N/A","0",IF(Tabla5[[#This Row],[ROI (MESES)]]="&lt;=3",100%*10%*22000,IF(Tabla5[[#This Row],[ROI (MESES)]]="&gt;3&lt;=6",75%*10%*22000,25%*10%*22000))))</f>
        <v>0</v>
      </c>
      <c r="P22" s="49">
        <f>IF(Tabla5[[#This Row],[FACILIDAD IMPLEM.]]="","",IF(Tabla5[[#This Row],[FACILIDAD IMPLEM.]]="A",100%*10%*22000,IF(AND(Tabla5[[#This Row],[FACILIDAD IMPLEM.]]="B"),50%*10%*22000,20%*10%*22000)))</f>
        <v>2200</v>
      </c>
      <c r="Q22" s="49">
        <f>Tabla5[[#This Row],[IMPACTO AMBIENTAL (Máx. 25%)]]*70%*22000+Tabla5[[#This Row],[IMPACTO ECONÓMICO (Máx. 25%)]]*70%*22000+Tabla5[[#This Row],[IMPACTO SST (Máx. 20%)]]*70%*22000+Tabla5[[#This Row],[IMPACTO PRODUCTIVIDAD (Máx. 25%)]]*70%*22000+Tabla5[[#This Row],[IMPACTO ORDEN Y ASEO (Máx. 5%)]]*70%*22000</f>
        <v>1078</v>
      </c>
      <c r="R22" s="49">
        <f>IFERROR(Tabla5[[#This Row],[PUNTOS VALOR INVERSIÓN]]+Tabla5[[#This Row],[PUNTOS ROI ]]+Tabla5[[#This Row],[PUNTOS FACILIDAD IMPLEM. ]]+Tabla5[[#This Row],[PUNTOS IMPACTO ]],"")</f>
        <v>5478</v>
      </c>
      <c r="S22" s="54" t="s">
        <v>107</v>
      </c>
      <c r="T22" s="91" t="s">
        <v>94</v>
      </c>
      <c r="U22" s="91" t="s">
        <v>110</v>
      </c>
      <c r="V22" s="54" t="s">
        <v>111</v>
      </c>
      <c r="W22" s="54" t="s">
        <v>112</v>
      </c>
      <c r="X22" s="91" t="s">
        <v>113</v>
      </c>
      <c r="Y22" s="49" t="s">
        <v>55</v>
      </c>
    </row>
    <row r="23" spans="1:25" ht="27.6" x14ac:dyDescent="0.25">
      <c r="A23" s="47">
        <v>71311035</v>
      </c>
      <c r="B23" s="53" t="s">
        <v>114</v>
      </c>
      <c r="C23" s="49">
        <v>7546</v>
      </c>
      <c r="D23" s="49" t="s">
        <v>54</v>
      </c>
      <c r="E23" s="49" t="s">
        <v>62</v>
      </c>
      <c r="F23" s="107">
        <v>10000000</v>
      </c>
      <c r="G23" s="49" t="s">
        <v>83</v>
      </c>
      <c r="H23" s="49" t="s">
        <v>78</v>
      </c>
      <c r="I23" s="50">
        <v>0</v>
      </c>
      <c r="J23" s="50">
        <v>0.1</v>
      </c>
      <c r="K23" s="50">
        <v>7.0000000000000007E-2</v>
      </c>
      <c r="L23" s="50">
        <v>0.1</v>
      </c>
      <c r="M23" s="50">
        <v>0.02</v>
      </c>
      <c r="N23" s="49">
        <f>IF(Tabla5[[#This Row],[VALOR INVERSIÓN]]="","",IF(Tabla5[[#This Row],[VALOR INVERSIÓN]]&lt;=10000000,100%*10%*22000,IF(AND(Tabla5[[#This Row],[VALOR INVERSIÓN]]&gt;10000000,Tabla5[[#This Row],[VALOR INVERSIÓN]]&lt;=20000000),60%*10%*22000,20%*10%*22000)))</f>
        <v>2200</v>
      </c>
      <c r="O23" s="49">
        <f>IF(Tabla5[[#This Row],[ROI (MESES)]]="","",IF(Tabla5[[#This Row],[ROI (MESES)]]="N/A","0",IF(Tabla5[[#This Row],[ROI (MESES)]]="&lt;=3",100%*10%*22000,IF(Tabla5[[#This Row],[ROI (MESES)]]="&gt;3&lt;=6",75%*10%*22000,25%*10%*22000))))</f>
        <v>550</v>
      </c>
      <c r="P23" s="49">
        <f>IF(Tabla5[[#This Row],[FACILIDAD IMPLEM.]]="","",IF(Tabla5[[#This Row],[FACILIDAD IMPLEM.]]="A",100%*10%*22000,IF(AND(Tabla5[[#This Row],[FACILIDAD IMPLEM.]]="B"),50%*10%*22000,20%*10%*22000)))</f>
        <v>1100</v>
      </c>
      <c r="Q23" s="49">
        <f>Tabla5[[#This Row],[IMPACTO AMBIENTAL (Máx. 25%)]]*70%*22000+Tabla5[[#This Row],[IMPACTO ECONÓMICO (Máx. 25%)]]*70%*22000+Tabla5[[#This Row],[IMPACTO SST (Máx. 20%)]]*70%*22000+Tabla5[[#This Row],[IMPACTO PRODUCTIVIDAD (Máx. 25%)]]*70%*22000+Tabla5[[#This Row],[IMPACTO ORDEN Y ASEO (Máx. 5%)]]*70%*22000</f>
        <v>4466</v>
      </c>
      <c r="R23" s="49">
        <f>IFERROR(Tabla5[[#This Row],[PUNTOS VALOR INVERSIÓN]]+Tabla5[[#This Row],[PUNTOS ROI ]]+Tabla5[[#This Row],[PUNTOS FACILIDAD IMPLEM. ]]+Tabla5[[#This Row],[PUNTOS IMPACTO ]],"")</f>
        <v>8316</v>
      </c>
      <c r="S23" s="54"/>
      <c r="T23" s="91" t="s">
        <v>79</v>
      </c>
      <c r="U23" s="91" t="s">
        <v>89</v>
      </c>
      <c r="V23" s="54" t="s">
        <v>115</v>
      </c>
      <c r="W23" s="54" t="s">
        <v>116</v>
      </c>
      <c r="X23" s="91" t="s">
        <v>117</v>
      </c>
      <c r="Y23" s="49" t="s">
        <v>105</v>
      </c>
    </row>
    <row r="24" spans="1:25" ht="27.6" x14ac:dyDescent="0.25">
      <c r="A24" s="47">
        <v>1059704792</v>
      </c>
      <c r="B24" s="53" t="s">
        <v>118</v>
      </c>
      <c r="C24" s="49">
        <v>5918</v>
      </c>
      <c r="D24" s="49" t="s">
        <v>119</v>
      </c>
      <c r="E24" s="49" t="s">
        <v>62</v>
      </c>
      <c r="F24" s="107">
        <v>1500000</v>
      </c>
      <c r="G24" s="49" t="s">
        <v>120</v>
      </c>
      <c r="H24" s="49" t="s">
        <v>73</v>
      </c>
      <c r="I24" s="50">
        <v>0.03</v>
      </c>
      <c r="J24" s="50">
        <v>0.09</v>
      </c>
      <c r="K24" s="50">
        <v>0</v>
      </c>
      <c r="L24" s="50">
        <v>0.03</v>
      </c>
      <c r="M24" s="50">
        <v>0</v>
      </c>
      <c r="N24" s="49">
        <f>IF(Tabla5[[#This Row],[VALOR INVERSIÓN]]="","",IF(Tabla5[[#This Row],[VALOR INVERSIÓN]]&lt;=10000000,100%*10%*22000,IF(AND(Tabla5[[#This Row],[VALOR INVERSIÓN]]&gt;10000000,Tabla5[[#This Row],[VALOR INVERSIÓN]]&lt;=20000000),60%*10%*22000,20%*10%*22000)))</f>
        <v>2200</v>
      </c>
      <c r="O24" s="49">
        <f>IF(Tabla5[[#This Row],[ROI (MESES)]]="","",IF(Tabla5[[#This Row],[ROI (MESES)]]="N/A","0",IF(Tabla5[[#This Row],[ROI (MESES)]]="&lt;=3",100%*10%*22000,IF(Tabla5[[#This Row],[ROI (MESES)]]="&gt;3&lt;=6",75%*10%*22000,25%*10%*22000))))</f>
        <v>1650.0000000000002</v>
      </c>
      <c r="P24" s="49">
        <f>IF(Tabla5[[#This Row],[FACILIDAD IMPLEM.]]="","",IF(Tabla5[[#This Row],[FACILIDAD IMPLEM.]]="A",100%*10%*22000,IF(AND(Tabla5[[#This Row],[FACILIDAD IMPLEM.]]="B"),50%*10%*22000,20%*10%*22000)))</f>
        <v>2200</v>
      </c>
      <c r="Q24" s="49">
        <f>Tabla5[[#This Row],[IMPACTO AMBIENTAL (Máx. 25%)]]*70%*22000+Tabla5[[#This Row],[IMPACTO ECONÓMICO (Máx. 25%)]]*70%*22000+Tabla5[[#This Row],[IMPACTO SST (Máx. 20%)]]*70%*22000+Tabla5[[#This Row],[IMPACTO PRODUCTIVIDAD (Máx. 25%)]]*70%*22000+Tabla5[[#This Row],[IMPACTO ORDEN Y ASEO (Máx. 5%)]]*70%*22000</f>
        <v>2310</v>
      </c>
      <c r="R24" s="49">
        <f>IFERROR(Tabla5[[#This Row],[PUNTOS VALOR INVERSIÓN]]+Tabla5[[#This Row],[PUNTOS ROI ]]+Tabla5[[#This Row],[PUNTOS FACILIDAD IMPLEM. ]]+Tabla5[[#This Row],[PUNTOS IMPACTO ]],"")</f>
        <v>8360</v>
      </c>
      <c r="S24" s="54" t="s">
        <v>121</v>
      </c>
      <c r="T24" s="91" t="s">
        <v>79</v>
      </c>
      <c r="U24" s="91" t="s">
        <v>110</v>
      </c>
      <c r="V24" s="54" t="s">
        <v>122</v>
      </c>
      <c r="W24" s="54" t="s">
        <v>123</v>
      </c>
      <c r="X24" s="91" t="s">
        <v>124</v>
      </c>
      <c r="Y24" s="49" t="s">
        <v>77</v>
      </c>
    </row>
    <row r="25" spans="1:25" ht="41.4" hidden="1" customHeight="1" x14ac:dyDescent="0.25">
      <c r="A25" s="47">
        <v>4116903</v>
      </c>
      <c r="B25" s="53" t="s">
        <v>125</v>
      </c>
      <c r="C25" s="49">
        <v>5919</v>
      </c>
      <c r="D25" s="49" t="s">
        <v>54</v>
      </c>
      <c r="E25" s="49" t="s">
        <v>55</v>
      </c>
      <c r="F25" s="92"/>
      <c r="G25" s="49"/>
      <c r="H25" s="49"/>
      <c r="I25" s="50"/>
      <c r="J25" s="50"/>
      <c r="K25" s="50"/>
      <c r="L25" s="50"/>
      <c r="M25" s="50"/>
      <c r="N25" s="49" t="str">
        <f>IF(Tabla5[[#This Row],[VALOR INVERSIÓN]]="","",IF(Tabla5[[#This Row],[VALOR INVERSIÓN]]&lt;=10000000,100%*10%*22000,IF(AND(Tabla5[[#This Row],[VALOR INVERSIÓN]]&gt;10000000,Tabla5[[#This Row],[VALOR INVERSIÓN]]&lt;=20000000),60%*10%*22000,20%*10%*22000)))</f>
        <v/>
      </c>
      <c r="O25" s="49" t="str">
        <f>IF(Tabla5[[#This Row],[ROI (MESES)]]="","",IF(Tabla5[[#This Row],[ROI (MESES)]]="N/A","0",IF(Tabla5[[#This Row],[ROI (MESES)]]="&lt;=3",100%*10%*22000,IF(Tabla5[[#This Row],[ROI (MESES)]]="&gt;3&lt;=6",75%*10%*22000,25%*10%*22000))))</f>
        <v/>
      </c>
      <c r="P25" s="49" t="str">
        <f>IF(Tabla5[[#This Row],[FACILIDAD IMPLEM.]]="","",IF(Tabla5[[#This Row],[FACILIDAD IMPLEM.]]="A",100%*10%*22000,IF(AND(Tabla5[[#This Row],[FACILIDAD IMPLEM.]]="B"),50%*10%*22000,20%*10%*22000)))</f>
        <v/>
      </c>
      <c r="Q25" s="49">
        <f>Tabla5[[#This Row],[IMPACTO AMBIENTAL (Máx. 25%)]]*70%*22000+Tabla5[[#This Row],[IMPACTO ECONÓMICO (Máx. 25%)]]*70%*22000+Tabla5[[#This Row],[IMPACTO SST (Máx. 20%)]]*70%*22000+Tabla5[[#This Row],[IMPACTO PRODUCTIVIDAD (Máx. 25%)]]*70%*22000+Tabla5[[#This Row],[IMPACTO ORDEN Y ASEO (Máx. 5%)]]*70%*22000</f>
        <v>0</v>
      </c>
      <c r="R25" s="49" t="str">
        <f>IFERROR(Tabla5[[#This Row],[PUNTOS VALOR INVERSIÓN]]+Tabla5[[#This Row],[PUNTOS ROI ]]+Tabla5[[#This Row],[PUNTOS FACILIDAD IMPLEM. ]]+Tabla5[[#This Row],[PUNTOS IMPACTO ]],"")</f>
        <v/>
      </c>
      <c r="S25" s="54" t="s">
        <v>126</v>
      </c>
      <c r="T25" s="91"/>
      <c r="U25" s="91"/>
      <c r="V25" s="54"/>
      <c r="W25" s="54"/>
      <c r="X25" s="49"/>
      <c r="Y25" s="49"/>
    </row>
    <row r="26" spans="1:25" ht="27.6" x14ac:dyDescent="0.25">
      <c r="A26" s="47">
        <v>1000751888</v>
      </c>
      <c r="B26" s="53" t="s">
        <v>127</v>
      </c>
      <c r="C26" s="49">
        <v>5983</v>
      </c>
      <c r="D26" s="49" t="s">
        <v>128</v>
      </c>
      <c r="E26" s="49" t="s">
        <v>62</v>
      </c>
      <c r="F26" s="107">
        <v>6000000</v>
      </c>
      <c r="G26" s="49" t="s">
        <v>83</v>
      </c>
      <c r="H26" s="49" t="s">
        <v>78</v>
      </c>
      <c r="I26" s="50">
        <v>0</v>
      </c>
      <c r="J26" s="50">
        <v>0.14000000000000001</v>
      </c>
      <c r="K26" s="50">
        <v>0</v>
      </c>
      <c r="L26" s="50">
        <v>0.06</v>
      </c>
      <c r="M26" s="50">
        <v>0</v>
      </c>
      <c r="N26" s="49">
        <f>IF(Tabla5[[#This Row],[VALOR INVERSIÓN]]="","",IF(Tabla5[[#This Row],[VALOR INVERSIÓN]]&lt;=10000000,100%*10%*22000,IF(AND(Tabla5[[#This Row],[VALOR INVERSIÓN]]&gt;10000000,Tabla5[[#This Row],[VALOR INVERSIÓN]]&lt;=20000000),60%*10%*22000,20%*10%*22000)))</f>
        <v>2200</v>
      </c>
      <c r="O26" s="49">
        <f>IF(Tabla5[[#This Row],[ROI (MESES)]]="","",IF(Tabla5[[#This Row],[ROI (MESES)]]="N/A","0",IF(Tabla5[[#This Row],[ROI (MESES)]]="&lt;=3",100%*10%*22000,IF(Tabla5[[#This Row],[ROI (MESES)]]="&gt;3&lt;=6",75%*10%*22000,25%*10%*22000))))</f>
        <v>550</v>
      </c>
      <c r="P26" s="49">
        <f>IF(Tabla5[[#This Row],[FACILIDAD IMPLEM.]]="","",IF(Tabla5[[#This Row],[FACILIDAD IMPLEM.]]="A",100%*10%*22000,IF(AND(Tabla5[[#This Row],[FACILIDAD IMPLEM.]]="B"),50%*10%*22000,20%*10%*22000)))</f>
        <v>1100</v>
      </c>
      <c r="Q26" s="49">
        <f>Tabla5[[#This Row],[IMPACTO AMBIENTAL (Máx. 25%)]]*70%*22000+Tabla5[[#This Row],[IMPACTO ECONÓMICO (Máx. 25%)]]*70%*22000+Tabla5[[#This Row],[IMPACTO SST (Máx. 20%)]]*70%*22000+Tabla5[[#This Row],[IMPACTO PRODUCTIVIDAD (Máx. 25%)]]*70%*22000+Tabla5[[#This Row],[IMPACTO ORDEN Y ASEO (Máx. 5%)]]*70%*22000</f>
        <v>3080</v>
      </c>
      <c r="R26" s="49">
        <f>IFERROR(Tabla5[[#This Row],[PUNTOS VALOR INVERSIÓN]]+Tabla5[[#This Row],[PUNTOS ROI ]]+Tabla5[[#This Row],[PUNTOS FACILIDAD IMPLEM. ]]+Tabla5[[#This Row],[PUNTOS IMPACTO ]],"")</f>
        <v>6930</v>
      </c>
      <c r="S26" s="54" t="s">
        <v>129</v>
      </c>
      <c r="T26" s="91" t="s">
        <v>79</v>
      </c>
      <c r="U26" s="91" t="s">
        <v>110</v>
      </c>
      <c r="V26" s="54" t="s">
        <v>130</v>
      </c>
      <c r="W26" s="54"/>
      <c r="X26" s="91" t="s">
        <v>131</v>
      </c>
      <c r="Y26" s="49" t="s">
        <v>132</v>
      </c>
    </row>
    <row r="27" spans="1:25" ht="27.6" hidden="1" customHeight="1" x14ac:dyDescent="0.25">
      <c r="A27" s="47">
        <v>71216235</v>
      </c>
      <c r="B27" s="53" t="s">
        <v>133</v>
      </c>
      <c r="C27" s="49">
        <v>5984</v>
      </c>
      <c r="D27" s="49" t="s">
        <v>54</v>
      </c>
      <c r="E27" s="49" t="s">
        <v>55</v>
      </c>
      <c r="F27" s="92"/>
      <c r="G27" s="49"/>
      <c r="H27" s="49"/>
      <c r="I27" s="50"/>
      <c r="J27" s="50"/>
      <c r="K27" s="50"/>
      <c r="L27" s="50"/>
      <c r="M27" s="50"/>
      <c r="N27" s="49" t="str">
        <f>IF(Tabla5[[#This Row],[VALOR INVERSIÓN]]="","",IF(Tabla5[[#This Row],[VALOR INVERSIÓN]]&lt;=10000000,100%*10%*22000,IF(AND(Tabla5[[#This Row],[VALOR INVERSIÓN]]&gt;10000000,Tabla5[[#This Row],[VALOR INVERSIÓN]]&lt;=20000000),60%*10%*22000,20%*10%*22000)))</f>
        <v/>
      </c>
      <c r="O27" s="49" t="str">
        <f>IF(Tabla5[[#This Row],[ROI (MESES)]]="","",IF(Tabla5[[#This Row],[ROI (MESES)]]="N/A","0",IF(Tabla5[[#This Row],[ROI (MESES)]]="&lt;=3",100%*10%*22000,IF(Tabla5[[#This Row],[ROI (MESES)]]="&gt;3&lt;=6",75%*10%*22000,25%*10%*22000))))</f>
        <v/>
      </c>
      <c r="P27" s="49" t="str">
        <f>IF(Tabla5[[#This Row],[FACILIDAD IMPLEM.]]="","",IF(Tabla5[[#This Row],[FACILIDAD IMPLEM.]]="A",100%*10%*22000,IF(AND(Tabla5[[#This Row],[FACILIDAD IMPLEM.]]="B"),50%*10%*22000,20%*10%*22000)))</f>
        <v/>
      </c>
      <c r="Q27" s="49">
        <f>Tabla5[[#This Row],[IMPACTO AMBIENTAL (Máx. 25%)]]*70%*22000+Tabla5[[#This Row],[IMPACTO ECONÓMICO (Máx. 25%)]]*70%*22000+Tabla5[[#This Row],[IMPACTO SST (Máx. 20%)]]*70%*22000+Tabla5[[#This Row],[IMPACTO PRODUCTIVIDAD (Máx. 25%)]]*70%*22000+Tabla5[[#This Row],[IMPACTO ORDEN Y ASEO (Máx. 5%)]]*70%*22000</f>
        <v>0</v>
      </c>
      <c r="R27" s="49" t="str">
        <f>IFERROR(Tabla5[[#This Row],[PUNTOS VALOR INVERSIÓN]]+Tabla5[[#This Row],[PUNTOS ROI ]]+Tabla5[[#This Row],[PUNTOS FACILIDAD IMPLEM. ]]+Tabla5[[#This Row],[PUNTOS IMPACTO ]],"")</f>
        <v/>
      </c>
      <c r="S27" s="54" t="s">
        <v>134</v>
      </c>
      <c r="T27" s="91"/>
      <c r="U27" s="91"/>
      <c r="V27" s="54"/>
      <c r="W27" s="54"/>
      <c r="X27" s="49"/>
      <c r="Y27" s="49"/>
    </row>
    <row r="28" spans="1:25" ht="46.5" customHeight="1" x14ac:dyDescent="0.25">
      <c r="A28" s="47">
        <v>1005346180</v>
      </c>
      <c r="B28" s="53" t="s">
        <v>135</v>
      </c>
      <c r="C28" s="49">
        <v>6026</v>
      </c>
      <c r="D28" s="49" t="s">
        <v>119</v>
      </c>
      <c r="E28" s="49" t="s">
        <v>62</v>
      </c>
      <c r="F28" s="107">
        <v>1000000</v>
      </c>
      <c r="G28" s="49" t="s">
        <v>100</v>
      </c>
      <c r="H28" s="49" t="s">
        <v>73</v>
      </c>
      <c r="I28" s="50">
        <v>0.16</v>
      </c>
      <c r="J28" s="50">
        <v>0.17</v>
      </c>
      <c r="K28" s="50">
        <v>0</v>
      </c>
      <c r="L28" s="50">
        <v>7.0000000000000007E-2</v>
      </c>
      <c r="M28" s="50">
        <v>0.03</v>
      </c>
      <c r="N28" s="49">
        <f>IF(Tabla5[[#This Row],[VALOR INVERSIÓN]]="","",IF(Tabla5[[#This Row],[VALOR INVERSIÓN]]&lt;=10000000,100%*10%*22000,IF(AND(Tabla5[[#This Row],[VALOR INVERSIÓN]]&gt;10000000,Tabla5[[#This Row],[VALOR INVERSIÓN]]&lt;=20000000),60%*10%*22000,20%*10%*22000)))</f>
        <v>2200</v>
      </c>
      <c r="O28" s="49">
        <f>IF(Tabla5[[#This Row],[ROI (MESES)]]="","",IF(Tabla5[[#This Row],[ROI (MESES)]]="N/A","0",IF(Tabla5[[#This Row],[ROI (MESES)]]="&lt;=3",100%*10%*22000,IF(Tabla5[[#This Row],[ROI (MESES)]]="&gt;3&lt;=6",75%*10%*22000,25%*10%*22000))))</f>
        <v>2200</v>
      </c>
      <c r="P28" s="49">
        <f>IF(Tabla5[[#This Row],[FACILIDAD IMPLEM.]]="","",IF(Tabla5[[#This Row],[FACILIDAD IMPLEM.]]="A",100%*10%*22000,IF(AND(Tabla5[[#This Row],[FACILIDAD IMPLEM.]]="B"),50%*10%*22000,20%*10%*22000)))</f>
        <v>2200</v>
      </c>
      <c r="Q28" s="49">
        <f>Tabla5[[#This Row],[IMPACTO AMBIENTAL (Máx. 25%)]]*70%*22000+Tabla5[[#This Row],[IMPACTO ECONÓMICO (Máx. 25%)]]*70%*22000+Tabla5[[#This Row],[IMPACTO SST (Máx. 20%)]]*70%*22000+Tabla5[[#This Row],[IMPACTO PRODUCTIVIDAD (Máx. 25%)]]*70%*22000+Tabla5[[#This Row],[IMPACTO ORDEN Y ASEO (Máx. 5%)]]*70%*22000</f>
        <v>6622</v>
      </c>
      <c r="R28" s="49">
        <f>IFERROR(Tabla5[[#This Row],[PUNTOS VALOR INVERSIÓN]]+Tabla5[[#This Row],[PUNTOS ROI ]]+Tabla5[[#This Row],[PUNTOS FACILIDAD IMPLEM. ]]+Tabla5[[#This Row],[PUNTOS IMPACTO ]],"")</f>
        <v>13222</v>
      </c>
      <c r="S28" s="54" t="s">
        <v>136</v>
      </c>
      <c r="T28" s="91" t="s">
        <v>79</v>
      </c>
      <c r="U28" s="91" t="s">
        <v>66</v>
      </c>
      <c r="V28" s="54" t="s">
        <v>137</v>
      </c>
      <c r="W28" s="54" t="s">
        <v>138</v>
      </c>
      <c r="X28" s="91" t="s">
        <v>124</v>
      </c>
      <c r="Y28" s="49" t="s">
        <v>132</v>
      </c>
    </row>
    <row r="29" spans="1:25" ht="138" hidden="1" customHeight="1" x14ac:dyDescent="0.25">
      <c r="A29" s="47">
        <v>1045047014</v>
      </c>
      <c r="B29" s="53" t="s">
        <v>139</v>
      </c>
      <c r="C29" s="49">
        <v>6057</v>
      </c>
      <c r="D29" s="49" t="s">
        <v>54</v>
      </c>
      <c r="E29" s="49" t="s">
        <v>55</v>
      </c>
      <c r="F29" s="92"/>
      <c r="G29" s="49"/>
      <c r="H29" s="49"/>
      <c r="I29" s="50"/>
      <c r="J29" s="50"/>
      <c r="K29" s="50"/>
      <c r="L29" s="50"/>
      <c r="M29" s="50"/>
      <c r="N29" s="49" t="str">
        <f>IF(Tabla5[[#This Row],[VALOR INVERSIÓN]]="","",IF(Tabla5[[#This Row],[VALOR INVERSIÓN]]&lt;=10000000,100%*10%*22000,IF(AND(Tabla5[[#This Row],[VALOR INVERSIÓN]]&gt;10000000,Tabla5[[#This Row],[VALOR INVERSIÓN]]&lt;=20000000),60%*10%*22000,20%*10%*22000)))</f>
        <v/>
      </c>
      <c r="O29" s="49" t="str">
        <f>IF(Tabla5[[#This Row],[ROI (MESES)]]="","",IF(Tabla5[[#This Row],[ROI (MESES)]]="N/A","0",IF(Tabla5[[#This Row],[ROI (MESES)]]="&lt;=3",100%*10%*22000,IF(Tabla5[[#This Row],[ROI (MESES)]]="&gt;3&lt;=6",75%*10%*22000,25%*10%*22000))))</f>
        <v/>
      </c>
      <c r="P29" s="49" t="str">
        <f>IF(Tabla5[[#This Row],[FACILIDAD IMPLEM.]]="","",IF(Tabla5[[#This Row],[FACILIDAD IMPLEM.]]="A",100%*10%*22000,IF(AND(Tabla5[[#This Row],[FACILIDAD IMPLEM.]]="B"),50%*10%*22000,20%*10%*22000)))</f>
        <v/>
      </c>
      <c r="Q29" s="49">
        <f>Tabla5[[#This Row],[IMPACTO AMBIENTAL (Máx. 25%)]]*70%*22000+Tabla5[[#This Row],[IMPACTO ECONÓMICO (Máx. 25%)]]*70%*22000+Tabla5[[#This Row],[IMPACTO SST (Máx. 20%)]]*70%*22000+Tabla5[[#This Row],[IMPACTO PRODUCTIVIDAD (Máx. 25%)]]*70%*22000+Tabla5[[#This Row],[IMPACTO ORDEN Y ASEO (Máx. 5%)]]*70%*22000</f>
        <v>0</v>
      </c>
      <c r="R29" s="49" t="str">
        <f>IFERROR(Tabla5[[#This Row],[PUNTOS VALOR INVERSIÓN]]+Tabla5[[#This Row],[PUNTOS ROI ]]+Tabla5[[#This Row],[PUNTOS FACILIDAD IMPLEM. ]]+Tabla5[[#This Row],[PUNTOS IMPACTO ]],"")</f>
        <v/>
      </c>
      <c r="S29" s="54" t="s">
        <v>140</v>
      </c>
      <c r="T29" s="91"/>
      <c r="U29" s="91"/>
      <c r="V29" s="54"/>
      <c r="W29" s="54"/>
      <c r="X29" s="49"/>
      <c r="Y29" s="49"/>
    </row>
    <row r="30" spans="1:25" ht="27.6" hidden="1" customHeight="1" x14ac:dyDescent="0.25">
      <c r="A30" s="47">
        <v>73570530</v>
      </c>
      <c r="B30" s="53" t="s">
        <v>141</v>
      </c>
      <c r="C30" s="49">
        <v>6071</v>
      </c>
      <c r="D30" s="49" t="s">
        <v>54</v>
      </c>
      <c r="E30" s="49" t="s">
        <v>55</v>
      </c>
      <c r="F30" s="92"/>
      <c r="G30" s="49"/>
      <c r="H30" s="49"/>
      <c r="I30" s="50"/>
      <c r="J30" s="50"/>
      <c r="K30" s="50"/>
      <c r="L30" s="50"/>
      <c r="M30" s="50"/>
      <c r="N30" s="49" t="str">
        <f>IF(Tabla5[[#This Row],[VALOR INVERSIÓN]]="","",IF(Tabla5[[#This Row],[VALOR INVERSIÓN]]&lt;=10000000,100%*10%*22000,IF(AND(Tabla5[[#This Row],[VALOR INVERSIÓN]]&gt;10000000,Tabla5[[#This Row],[VALOR INVERSIÓN]]&lt;=20000000),60%*10%*22000,20%*10%*22000)))</f>
        <v/>
      </c>
      <c r="O30" s="49" t="str">
        <f>IF(Tabla5[[#This Row],[ROI (MESES)]]="","",IF(Tabla5[[#This Row],[ROI (MESES)]]="N/A","0",IF(Tabla5[[#This Row],[ROI (MESES)]]="&lt;=3",100%*10%*22000,IF(Tabla5[[#This Row],[ROI (MESES)]]="&gt;3&lt;=6",75%*10%*22000,25%*10%*22000))))</f>
        <v/>
      </c>
      <c r="P30" s="49" t="str">
        <f>IF(Tabla5[[#This Row],[FACILIDAD IMPLEM.]]="","",IF(Tabla5[[#This Row],[FACILIDAD IMPLEM.]]="A",100%*10%*22000,IF(AND(Tabla5[[#This Row],[FACILIDAD IMPLEM.]]="B"),50%*10%*22000,20%*10%*22000)))</f>
        <v/>
      </c>
      <c r="Q30" s="49">
        <f>Tabla5[[#This Row],[IMPACTO AMBIENTAL (Máx. 25%)]]*70%*22000+Tabla5[[#This Row],[IMPACTO ECONÓMICO (Máx. 25%)]]*70%*22000+Tabla5[[#This Row],[IMPACTO SST (Máx. 20%)]]*70%*22000+Tabla5[[#This Row],[IMPACTO PRODUCTIVIDAD (Máx. 25%)]]*70%*22000+Tabla5[[#This Row],[IMPACTO ORDEN Y ASEO (Máx. 5%)]]*70%*22000</f>
        <v>0</v>
      </c>
      <c r="R30" s="49" t="str">
        <f>IFERROR(Tabla5[[#This Row],[PUNTOS VALOR INVERSIÓN]]+Tabla5[[#This Row],[PUNTOS ROI ]]+Tabla5[[#This Row],[PUNTOS FACILIDAD IMPLEM. ]]+Tabla5[[#This Row],[PUNTOS IMPACTO ]],"")</f>
        <v/>
      </c>
      <c r="S30" s="54" t="s">
        <v>142</v>
      </c>
      <c r="T30" s="91"/>
      <c r="U30" s="91"/>
      <c r="V30" s="54"/>
      <c r="W30" s="54"/>
      <c r="X30" s="49"/>
      <c r="Y30" s="49"/>
    </row>
    <row r="31" spans="1:25" ht="27.6" hidden="1" customHeight="1" x14ac:dyDescent="0.25">
      <c r="A31" s="47">
        <v>1001416385</v>
      </c>
      <c r="B31" s="53" t="s">
        <v>143</v>
      </c>
      <c r="C31" s="49">
        <v>6223</v>
      </c>
      <c r="D31" s="49" t="s">
        <v>144</v>
      </c>
      <c r="E31" s="49" t="s">
        <v>55</v>
      </c>
      <c r="F31" s="92"/>
      <c r="G31" s="49"/>
      <c r="H31" s="49"/>
      <c r="I31" s="50"/>
      <c r="J31" s="50"/>
      <c r="K31" s="50"/>
      <c r="L31" s="50"/>
      <c r="M31" s="50"/>
      <c r="N31" s="49" t="str">
        <f>IF(Tabla5[[#This Row],[VALOR INVERSIÓN]]="","",IF(Tabla5[[#This Row],[VALOR INVERSIÓN]]&lt;=10000000,100%*10%*22000,IF(AND(Tabla5[[#This Row],[VALOR INVERSIÓN]]&gt;10000000,Tabla5[[#This Row],[VALOR INVERSIÓN]]&lt;=20000000),60%*10%*22000,20%*10%*22000)))</f>
        <v/>
      </c>
      <c r="O31" s="49" t="str">
        <f>IF(Tabla5[[#This Row],[ROI (MESES)]]="","",IF(Tabla5[[#This Row],[ROI (MESES)]]="N/A","0",IF(Tabla5[[#This Row],[ROI (MESES)]]="&lt;=3",100%*10%*22000,IF(Tabla5[[#This Row],[ROI (MESES)]]="&gt;3&lt;=6",75%*10%*22000,25%*10%*22000))))</f>
        <v/>
      </c>
      <c r="P31" s="49" t="str">
        <f>IF(Tabla5[[#This Row],[FACILIDAD IMPLEM.]]="","",IF(Tabla5[[#This Row],[FACILIDAD IMPLEM.]]="A",100%*10%*22000,IF(AND(Tabla5[[#This Row],[FACILIDAD IMPLEM.]]="B"),50%*10%*22000,20%*10%*22000)))</f>
        <v/>
      </c>
      <c r="Q31" s="49">
        <f>Tabla5[[#This Row],[IMPACTO AMBIENTAL (Máx. 25%)]]*70%*22000+Tabla5[[#This Row],[IMPACTO ECONÓMICO (Máx. 25%)]]*70%*22000+Tabla5[[#This Row],[IMPACTO SST (Máx. 20%)]]*70%*22000+Tabla5[[#This Row],[IMPACTO PRODUCTIVIDAD (Máx. 25%)]]*70%*22000+Tabla5[[#This Row],[IMPACTO ORDEN Y ASEO (Máx. 5%)]]*70%*22000</f>
        <v>0</v>
      </c>
      <c r="R31" s="49" t="str">
        <f>IFERROR(Tabla5[[#This Row],[PUNTOS VALOR INVERSIÓN]]+Tabla5[[#This Row],[PUNTOS ROI ]]+Tabla5[[#This Row],[PUNTOS FACILIDAD IMPLEM. ]]+Tabla5[[#This Row],[PUNTOS IMPACTO ]],"")</f>
        <v/>
      </c>
      <c r="S31" s="54" t="s">
        <v>145</v>
      </c>
      <c r="T31" s="91"/>
      <c r="U31" s="91"/>
      <c r="V31" s="54"/>
      <c r="W31" s="54"/>
      <c r="X31" s="49"/>
      <c r="Y31" s="49"/>
    </row>
    <row r="32" spans="1:25" ht="27.6" hidden="1" customHeight="1" x14ac:dyDescent="0.25">
      <c r="A32" s="47">
        <v>1128479264</v>
      </c>
      <c r="B32" s="53" t="s">
        <v>146</v>
      </c>
      <c r="C32" s="49">
        <v>6226</v>
      </c>
      <c r="D32" s="49" t="s">
        <v>119</v>
      </c>
      <c r="E32" s="49" t="s">
        <v>55</v>
      </c>
      <c r="F32" s="92"/>
      <c r="G32" s="49"/>
      <c r="H32" s="49"/>
      <c r="I32" s="50"/>
      <c r="J32" s="50"/>
      <c r="K32" s="50"/>
      <c r="L32" s="50"/>
      <c r="M32" s="50"/>
      <c r="N32" s="49" t="str">
        <f>IF(Tabla5[[#This Row],[VALOR INVERSIÓN]]="","",IF(Tabla5[[#This Row],[VALOR INVERSIÓN]]&lt;=10000000,100%*10%*22000,IF(AND(Tabla5[[#This Row],[VALOR INVERSIÓN]]&gt;10000000,Tabla5[[#This Row],[VALOR INVERSIÓN]]&lt;=20000000),60%*10%*22000,20%*10%*22000)))</f>
        <v/>
      </c>
      <c r="O32" s="49" t="str">
        <f>IF(Tabla5[[#This Row],[ROI (MESES)]]="","",IF(Tabla5[[#This Row],[ROI (MESES)]]="N/A","0",IF(Tabla5[[#This Row],[ROI (MESES)]]="&lt;=3",100%*10%*22000,IF(Tabla5[[#This Row],[ROI (MESES)]]="&gt;3&lt;=6",75%*10%*22000,25%*10%*22000))))</f>
        <v/>
      </c>
      <c r="P32" s="49" t="str">
        <f>IF(Tabla5[[#This Row],[FACILIDAD IMPLEM.]]="","",IF(Tabla5[[#This Row],[FACILIDAD IMPLEM.]]="A",100%*10%*22000,IF(AND(Tabla5[[#This Row],[FACILIDAD IMPLEM.]]="B"),50%*10%*22000,20%*10%*22000)))</f>
        <v/>
      </c>
      <c r="Q32" s="49">
        <f>Tabla5[[#This Row],[IMPACTO AMBIENTAL (Máx. 25%)]]*70%*22000+Tabla5[[#This Row],[IMPACTO ECONÓMICO (Máx. 25%)]]*70%*22000+Tabla5[[#This Row],[IMPACTO SST (Máx. 20%)]]*70%*22000+Tabla5[[#This Row],[IMPACTO PRODUCTIVIDAD (Máx. 25%)]]*70%*22000+Tabla5[[#This Row],[IMPACTO ORDEN Y ASEO (Máx. 5%)]]*70%*22000</f>
        <v>0</v>
      </c>
      <c r="R32" s="49" t="str">
        <f>IFERROR(Tabla5[[#This Row],[PUNTOS VALOR INVERSIÓN]]+Tabla5[[#This Row],[PUNTOS ROI ]]+Tabla5[[#This Row],[PUNTOS FACILIDAD IMPLEM. ]]+Tabla5[[#This Row],[PUNTOS IMPACTO ]],"")</f>
        <v/>
      </c>
      <c r="S32" s="54" t="s">
        <v>147</v>
      </c>
      <c r="T32" s="91"/>
      <c r="U32" s="91"/>
      <c r="V32" s="54"/>
      <c r="W32" s="54"/>
      <c r="X32" s="49"/>
      <c r="Y32" s="49"/>
    </row>
    <row r="33" spans="1:25" ht="41.4" x14ac:dyDescent="0.25">
      <c r="A33" s="47">
        <v>1035919597</v>
      </c>
      <c r="B33" s="53" t="s">
        <v>148</v>
      </c>
      <c r="C33" s="49">
        <v>6240</v>
      </c>
      <c r="D33" s="49" t="s">
        <v>54</v>
      </c>
      <c r="E33" s="49" t="s">
        <v>62</v>
      </c>
      <c r="F33" s="107">
        <v>100000</v>
      </c>
      <c r="G33" s="49" t="s">
        <v>100</v>
      </c>
      <c r="H33" s="49" t="s">
        <v>73</v>
      </c>
      <c r="I33" s="50">
        <v>0.1</v>
      </c>
      <c r="J33" s="50">
        <v>7.0000000000000007E-2</v>
      </c>
      <c r="K33" s="50">
        <v>0.05</v>
      </c>
      <c r="L33" s="50">
        <v>0.2</v>
      </c>
      <c r="M33" s="50">
        <v>0.03</v>
      </c>
      <c r="N33" s="49">
        <f>IF(Tabla5[[#This Row],[VALOR INVERSIÓN]]="","",IF(Tabla5[[#This Row],[VALOR INVERSIÓN]]&lt;=10000000,100%*10%*22000,IF(AND(Tabla5[[#This Row],[VALOR INVERSIÓN]]&gt;10000000,Tabla5[[#This Row],[VALOR INVERSIÓN]]&lt;=20000000),60%*10%*22000,20%*10%*22000)))</f>
        <v>2200</v>
      </c>
      <c r="O33" s="49">
        <f>IF(Tabla5[[#This Row],[ROI (MESES)]]="","",IF(Tabla5[[#This Row],[ROI (MESES)]]="N/A","0",IF(Tabla5[[#This Row],[ROI (MESES)]]="&lt;=3",100%*10%*22000,IF(Tabla5[[#This Row],[ROI (MESES)]]="&gt;3&lt;=6",75%*10%*22000,25%*10%*22000))))</f>
        <v>2200</v>
      </c>
      <c r="P33" s="49">
        <f>IF(Tabla5[[#This Row],[FACILIDAD IMPLEM.]]="","",IF(Tabla5[[#This Row],[FACILIDAD IMPLEM.]]="A",100%*10%*22000,IF(AND(Tabla5[[#This Row],[FACILIDAD IMPLEM.]]="B"),50%*10%*22000,20%*10%*22000)))</f>
        <v>2200</v>
      </c>
      <c r="Q33" s="49">
        <f>Tabla5[[#This Row],[IMPACTO AMBIENTAL (Máx. 25%)]]*70%*22000+Tabla5[[#This Row],[IMPACTO ECONÓMICO (Máx. 25%)]]*70%*22000+Tabla5[[#This Row],[IMPACTO SST (Máx. 20%)]]*70%*22000+Tabla5[[#This Row],[IMPACTO PRODUCTIVIDAD (Máx. 25%)]]*70%*22000+Tabla5[[#This Row],[IMPACTO ORDEN Y ASEO (Máx. 5%)]]*70%*22000</f>
        <v>6930</v>
      </c>
      <c r="R33" s="49">
        <f>IFERROR(Tabla5[[#This Row],[PUNTOS VALOR INVERSIÓN]]+Tabla5[[#This Row],[PUNTOS ROI ]]+Tabla5[[#This Row],[PUNTOS FACILIDAD IMPLEM. ]]+Tabla5[[#This Row],[PUNTOS IMPACTO ]],"")</f>
        <v>13530</v>
      </c>
      <c r="S33" s="54" t="s">
        <v>149</v>
      </c>
      <c r="T33" s="91" t="s">
        <v>79</v>
      </c>
      <c r="U33" s="91" t="s">
        <v>110</v>
      </c>
      <c r="V33" s="54" t="s">
        <v>150</v>
      </c>
      <c r="W33" s="54" t="s">
        <v>151</v>
      </c>
      <c r="X33" s="91" t="s">
        <v>113</v>
      </c>
      <c r="Y33" s="49" t="s">
        <v>55</v>
      </c>
    </row>
    <row r="34" spans="1:25" ht="27.6" x14ac:dyDescent="0.25">
      <c r="A34" s="47">
        <v>1128479264</v>
      </c>
      <c r="B34" s="53" t="s">
        <v>146</v>
      </c>
      <c r="C34" s="49">
        <v>6252</v>
      </c>
      <c r="D34" s="49" t="s">
        <v>119</v>
      </c>
      <c r="E34" s="49" t="s">
        <v>62</v>
      </c>
      <c r="F34" s="107">
        <v>1000000</v>
      </c>
      <c r="G34" s="49" t="s">
        <v>63</v>
      </c>
      <c r="H34" s="49" t="s">
        <v>73</v>
      </c>
      <c r="I34" s="50">
        <v>0.04</v>
      </c>
      <c r="J34" s="50">
        <v>0</v>
      </c>
      <c r="K34" s="50">
        <v>0</v>
      </c>
      <c r="L34" s="50">
        <v>0</v>
      </c>
      <c r="M34" s="50">
        <v>0.01</v>
      </c>
      <c r="N34" s="49">
        <f>IF(Tabla5[[#This Row],[VALOR INVERSIÓN]]="","",IF(Tabla5[[#This Row],[VALOR INVERSIÓN]]&lt;=10000000,100%*10%*22000,IF(AND(Tabla5[[#This Row],[VALOR INVERSIÓN]]&gt;10000000,Tabla5[[#This Row],[VALOR INVERSIÓN]]&lt;=20000000),60%*10%*22000,20%*10%*22000)))</f>
        <v>2200</v>
      </c>
      <c r="O34" s="49" t="str">
        <f>IF(Tabla5[[#This Row],[ROI (MESES)]]="","",IF(Tabla5[[#This Row],[ROI (MESES)]]="N/A","0",IF(Tabla5[[#This Row],[ROI (MESES)]]="&lt;=3",100%*10%*22000,IF(Tabla5[[#This Row],[ROI (MESES)]]="&gt;3&lt;=6",75%*10%*22000,25%*10%*22000))))</f>
        <v>0</v>
      </c>
      <c r="P34" s="49">
        <f>IF(Tabla5[[#This Row],[FACILIDAD IMPLEM.]]="","",IF(Tabla5[[#This Row],[FACILIDAD IMPLEM.]]="A",100%*10%*22000,IF(AND(Tabla5[[#This Row],[FACILIDAD IMPLEM.]]="B"),50%*10%*22000,20%*10%*22000)))</f>
        <v>2200</v>
      </c>
      <c r="Q34" s="49">
        <f>Tabla5[[#This Row],[IMPACTO AMBIENTAL (Máx. 25%)]]*70%*22000+Tabla5[[#This Row],[IMPACTO ECONÓMICO (Máx. 25%)]]*70%*22000+Tabla5[[#This Row],[IMPACTO SST (Máx. 20%)]]*70%*22000+Tabla5[[#This Row],[IMPACTO PRODUCTIVIDAD (Máx. 25%)]]*70%*22000+Tabla5[[#This Row],[IMPACTO ORDEN Y ASEO (Máx. 5%)]]*70%*22000</f>
        <v>769.99999999999989</v>
      </c>
      <c r="R34" s="49">
        <f>IFERROR(Tabla5[[#This Row],[PUNTOS VALOR INVERSIÓN]]+Tabla5[[#This Row],[PUNTOS ROI ]]+Tabla5[[#This Row],[PUNTOS FACILIDAD IMPLEM. ]]+Tabla5[[#This Row],[PUNTOS IMPACTO ]],"")</f>
        <v>5170</v>
      </c>
      <c r="S34" s="54" t="s">
        <v>152</v>
      </c>
      <c r="T34" s="91" t="s">
        <v>65</v>
      </c>
      <c r="U34" s="91" t="s">
        <v>84</v>
      </c>
      <c r="V34" s="54" t="s">
        <v>153</v>
      </c>
      <c r="W34" s="54" t="s">
        <v>154</v>
      </c>
      <c r="X34" s="91"/>
      <c r="Y34" s="49" t="s">
        <v>55</v>
      </c>
    </row>
    <row r="35" spans="1:25" ht="55.2" hidden="1" customHeight="1" x14ac:dyDescent="0.25">
      <c r="A35" s="47">
        <v>1035918433</v>
      </c>
      <c r="B35" s="53" t="s">
        <v>155</v>
      </c>
      <c r="C35" s="49">
        <v>6254</v>
      </c>
      <c r="D35" s="49" t="s">
        <v>54</v>
      </c>
      <c r="E35" s="49" t="s">
        <v>55</v>
      </c>
      <c r="F35" s="92"/>
      <c r="G35" s="49"/>
      <c r="H35" s="49"/>
      <c r="I35" s="50"/>
      <c r="J35" s="50"/>
      <c r="K35" s="50"/>
      <c r="L35" s="50"/>
      <c r="M35" s="50"/>
      <c r="N35" s="49" t="str">
        <f>IF(Tabla5[[#This Row],[VALOR INVERSIÓN]]="","",IF(Tabla5[[#This Row],[VALOR INVERSIÓN]]&lt;=10000000,100%*10%*22000,IF(AND(Tabla5[[#This Row],[VALOR INVERSIÓN]]&gt;10000000,Tabla5[[#This Row],[VALOR INVERSIÓN]]&lt;=20000000),60%*10%*22000,20%*10%*22000)))</f>
        <v/>
      </c>
      <c r="O35" s="49" t="str">
        <f>IF(Tabla5[[#This Row],[ROI (MESES)]]="","",IF(Tabla5[[#This Row],[ROI (MESES)]]="N/A","0",IF(Tabla5[[#This Row],[ROI (MESES)]]="&lt;=3",100%*10%*22000,IF(Tabla5[[#This Row],[ROI (MESES)]]="&gt;3&lt;=6",75%*10%*22000,25%*10%*22000))))</f>
        <v/>
      </c>
      <c r="P35" s="49" t="str">
        <f>IF(Tabla5[[#This Row],[FACILIDAD IMPLEM.]]="","",IF(Tabla5[[#This Row],[FACILIDAD IMPLEM.]]="A",100%*10%*22000,IF(AND(Tabla5[[#This Row],[FACILIDAD IMPLEM.]]="B"),50%*10%*22000,20%*10%*22000)))</f>
        <v/>
      </c>
      <c r="Q35" s="49">
        <f>Tabla5[[#This Row],[IMPACTO AMBIENTAL (Máx. 25%)]]*70%*22000+Tabla5[[#This Row],[IMPACTO ECONÓMICO (Máx. 25%)]]*70%*22000+Tabla5[[#This Row],[IMPACTO SST (Máx. 20%)]]*70%*22000+Tabla5[[#This Row],[IMPACTO PRODUCTIVIDAD (Máx. 25%)]]*70%*22000+Tabla5[[#This Row],[IMPACTO ORDEN Y ASEO (Máx. 5%)]]*70%*22000</f>
        <v>0</v>
      </c>
      <c r="R35" s="49" t="str">
        <f>IFERROR(Tabla5[[#This Row],[PUNTOS VALOR INVERSIÓN]]+Tabla5[[#This Row],[PUNTOS ROI ]]+Tabla5[[#This Row],[PUNTOS FACILIDAD IMPLEM. ]]+Tabla5[[#This Row],[PUNTOS IMPACTO ]],"")</f>
        <v/>
      </c>
      <c r="S35" s="54" t="s">
        <v>156</v>
      </c>
      <c r="T35" s="91"/>
      <c r="U35" s="91"/>
      <c r="V35" s="54"/>
      <c r="W35" s="54"/>
      <c r="X35" s="49"/>
      <c r="Y35" s="49"/>
    </row>
    <row r="36" spans="1:25" ht="27.6" x14ac:dyDescent="0.25">
      <c r="A36" s="47">
        <v>1065659658</v>
      </c>
      <c r="B36" s="53" t="s">
        <v>157</v>
      </c>
      <c r="C36" s="49">
        <v>6255</v>
      </c>
      <c r="D36" s="49" t="s">
        <v>54</v>
      </c>
      <c r="E36" s="49" t="s">
        <v>62</v>
      </c>
      <c r="F36" s="107">
        <v>1000000</v>
      </c>
      <c r="G36" s="49" t="s">
        <v>83</v>
      </c>
      <c r="H36" s="49" t="s">
        <v>78</v>
      </c>
      <c r="I36" s="50">
        <v>0</v>
      </c>
      <c r="J36" s="50">
        <v>0.04</v>
      </c>
      <c r="K36" s="50">
        <v>0.01</v>
      </c>
      <c r="L36" s="50">
        <v>0.02</v>
      </c>
      <c r="M36" s="50">
        <v>0</v>
      </c>
      <c r="N36" s="49">
        <f>IF(Tabla5[[#This Row],[VALOR INVERSIÓN]]="","",IF(Tabla5[[#This Row],[VALOR INVERSIÓN]]&lt;=10000000,100%*10%*22000,IF(AND(Tabla5[[#This Row],[VALOR INVERSIÓN]]&gt;10000000,Tabla5[[#This Row],[VALOR INVERSIÓN]]&lt;=20000000),60%*10%*22000,20%*10%*22000)))</f>
        <v>2200</v>
      </c>
      <c r="O36" s="49">
        <f>IF(Tabla5[[#This Row],[ROI (MESES)]]="","",IF(Tabla5[[#This Row],[ROI (MESES)]]="N/A","0",IF(Tabla5[[#This Row],[ROI (MESES)]]="&lt;=3",100%*10%*22000,IF(Tabla5[[#This Row],[ROI (MESES)]]="&gt;3&lt;=6",75%*10%*22000,25%*10%*22000))))</f>
        <v>550</v>
      </c>
      <c r="P36" s="49">
        <f>IF(Tabla5[[#This Row],[FACILIDAD IMPLEM.]]="","",IF(Tabla5[[#This Row],[FACILIDAD IMPLEM.]]="A",100%*10%*22000,IF(AND(Tabla5[[#This Row],[FACILIDAD IMPLEM.]]="B"),50%*10%*22000,20%*10%*22000)))</f>
        <v>1100</v>
      </c>
      <c r="Q36" s="49">
        <f>Tabla5[[#This Row],[IMPACTO AMBIENTAL (Máx. 25%)]]*70%*22000+Tabla5[[#This Row],[IMPACTO ECONÓMICO (Máx. 25%)]]*70%*22000+Tabla5[[#This Row],[IMPACTO SST (Máx. 20%)]]*70%*22000+Tabla5[[#This Row],[IMPACTO PRODUCTIVIDAD (Máx. 25%)]]*70%*22000+Tabla5[[#This Row],[IMPACTO ORDEN Y ASEO (Máx. 5%)]]*70%*22000</f>
        <v>1077.9999999999998</v>
      </c>
      <c r="R36" s="49">
        <f>IFERROR(Tabla5[[#This Row],[PUNTOS VALOR INVERSIÓN]]+Tabla5[[#This Row],[PUNTOS ROI ]]+Tabla5[[#This Row],[PUNTOS FACILIDAD IMPLEM. ]]+Tabla5[[#This Row],[PUNTOS IMPACTO ]],"")</f>
        <v>4928</v>
      </c>
      <c r="S36" s="54" t="s">
        <v>152</v>
      </c>
      <c r="T36" s="91" t="s">
        <v>65</v>
      </c>
      <c r="U36" s="91" t="s">
        <v>84</v>
      </c>
      <c r="V36" s="54" t="s">
        <v>158</v>
      </c>
      <c r="W36" s="54" t="s">
        <v>159</v>
      </c>
      <c r="X36" s="91"/>
      <c r="Y36" s="49" t="s">
        <v>55</v>
      </c>
    </row>
    <row r="37" spans="1:25" ht="13.95" hidden="1" customHeight="1" x14ac:dyDescent="0.25">
      <c r="A37" s="47">
        <v>17685011</v>
      </c>
      <c r="B37" s="53" t="s">
        <v>160</v>
      </c>
      <c r="C37" s="49">
        <v>6262</v>
      </c>
      <c r="D37" s="49" t="s">
        <v>119</v>
      </c>
      <c r="E37" s="49" t="s">
        <v>55</v>
      </c>
      <c r="F37" s="92"/>
      <c r="G37" s="49"/>
      <c r="H37" s="49"/>
      <c r="I37" s="50"/>
      <c r="J37" s="50"/>
      <c r="K37" s="50"/>
      <c r="L37" s="50"/>
      <c r="M37" s="50"/>
      <c r="N37" s="49" t="str">
        <f>IF(Tabla5[[#This Row],[VALOR INVERSIÓN]]="","",IF(Tabla5[[#This Row],[VALOR INVERSIÓN]]&lt;=10000000,100%*10%*22000,IF(AND(Tabla5[[#This Row],[VALOR INVERSIÓN]]&gt;10000000,Tabla5[[#This Row],[VALOR INVERSIÓN]]&lt;=20000000),60%*10%*22000,20%*10%*22000)))</f>
        <v/>
      </c>
      <c r="O37" s="49" t="str">
        <f>IF(Tabla5[[#This Row],[ROI (MESES)]]="","",IF(Tabla5[[#This Row],[ROI (MESES)]]="N/A","0",IF(Tabla5[[#This Row],[ROI (MESES)]]="&lt;=3",100%*10%*22000,IF(Tabla5[[#This Row],[ROI (MESES)]]="&gt;3&lt;=6",75%*10%*22000,25%*10%*22000))))</f>
        <v/>
      </c>
      <c r="P37" s="49" t="str">
        <f>IF(Tabla5[[#This Row],[FACILIDAD IMPLEM.]]="","",IF(Tabla5[[#This Row],[FACILIDAD IMPLEM.]]="A",100%*10%*22000,IF(AND(Tabla5[[#This Row],[FACILIDAD IMPLEM.]]="B"),50%*10%*22000,20%*10%*22000)))</f>
        <v/>
      </c>
      <c r="Q37" s="49">
        <f>Tabla5[[#This Row],[IMPACTO AMBIENTAL (Máx. 25%)]]*70%*22000+Tabla5[[#This Row],[IMPACTO ECONÓMICO (Máx. 25%)]]*70%*22000+Tabla5[[#This Row],[IMPACTO SST (Máx. 20%)]]*70%*22000+Tabla5[[#This Row],[IMPACTO PRODUCTIVIDAD (Máx. 25%)]]*70%*22000+Tabla5[[#This Row],[IMPACTO ORDEN Y ASEO (Máx. 5%)]]*70%*22000</f>
        <v>0</v>
      </c>
      <c r="R37" s="49" t="str">
        <f>IFERROR(Tabla5[[#This Row],[PUNTOS VALOR INVERSIÓN]]+Tabla5[[#This Row],[PUNTOS ROI ]]+Tabla5[[#This Row],[PUNTOS FACILIDAD IMPLEM. ]]+Tabla5[[#This Row],[PUNTOS IMPACTO ]],"")</f>
        <v/>
      </c>
      <c r="S37" s="54" t="s">
        <v>161</v>
      </c>
      <c r="T37" s="91"/>
      <c r="U37" s="91"/>
      <c r="V37" s="54"/>
      <c r="W37" s="54"/>
      <c r="X37" s="49"/>
      <c r="Y37" s="49"/>
    </row>
    <row r="38" spans="1:25" ht="27.6" x14ac:dyDescent="0.25">
      <c r="A38" s="47">
        <v>17685011</v>
      </c>
      <c r="B38" s="53" t="s">
        <v>160</v>
      </c>
      <c r="C38" s="49">
        <v>6263</v>
      </c>
      <c r="D38" s="49" t="s">
        <v>119</v>
      </c>
      <c r="E38" s="49" t="s">
        <v>62</v>
      </c>
      <c r="F38" s="107">
        <v>10000000</v>
      </c>
      <c r="G38" s="49" t="s">
        <v>83</v>
      </c>
      <c r="H38" s="49" t="s">
        <v>73</v>
      </c>
      <c r="I38" s="50">
        <v>0.1</v>
      </c>
      <c r="J38" s="50">
        <v>0.05</v>
      </c>
      <c r="K38" s="50">
        <v>0.02</v>
      </c>
      <c r="L38" s="50">
        <v>0.1</v>
      </c>
      <c r="M38" s="50">
        <v>0.05</v>
      </c>
      <c r="N38" s="49">
        <f>IF(Tabla5[[#This Row],[VALOR INVERSIÓN]]="","",IF(Tabla5[[#This Row],[VALOR INVERSIÓN]]&lt;=10000000,100%*10%*22000,IF(AND(Tabla5[[#This Row],[VALOR INVERSIÓN]]&gt;10000000,Tabla5[[#This Row],[VALOR INVERSIÓN]]&lt;=20000000),60%*10%*22000,20%*10%*22000)))</f>
        <v>2200</v>
      </c>
      <c r="O38" s="49">
        <f>IF(Tabla5[[#This Row],[ROI (MESES)]]="","",IF(Tabla5[[#This Row],[ROI (MESES)]]="N/A","0",IF(Tabla5[[#This Row],[ROI (MESES)]]="&lt;=3",100%*10%*22000,IF(Tabla5[[#This Row],[ROI (MESES)]]="&gt;3&lt;=6",75%*10%*22000,25%*10%*22000))))</f>
        <v>550</v>
      </c>
      <c r="P38" s="49">
        <f>IF(Tabla5[[#This Row],[FACILIDAD IMPLEM.]]="","",IF(Tabla5[[#This Row],[FACILIDAD IMPLEM.]]="A",100%*10%*22000,IF(AND(Tabla5[[#This Row],[FACILIDAD IMPLEM.]]="B"),50%*10%*22000,20%*10%*22000)))</f>
        <v>2200</v>
      </c>
      <c r="Q38" s="49">
        <f>Tabla5[[#This Row],[IMPACTO AMBIENTAL (Máx. 25%)]]*70%*22000+Tabla5[[#This Row],[IMPACTO ECONÓMICO (Máx. 25%)]]*70%*22000+Tabla5[[#This Row],[IMPACTO SST (Máx. 20%)]]*70%*22000+Tabla5[[#This Row],[IMPACTO PRODUCTIVIDAD (Máx. 25%)]]*70%*22000+Tabla5[[#This Row],[IMPACTO ORDEN Y ASEO (Máx. 5%)]]*70%*22000</f>
        <v>4927.9999999999991</v>
      </c>
      <c r="R38" s="49">
        <f>IFERROR(Tabla5[[#This Row],[PUNTOS VALOR INVERSIÓN]]+Tabla5[[#This Row],[PUNTOS ROI ]]+Tabla5[[#This Row],[PUNTOS FACILIDAD IMPLEM. ]]+Tabla5[[#This Row],[PUNTOS IMPACTO ]],"")</f>
        <v>9878</v>
      </c>
      <c r="S38" s="54" t="s">
        <v>161</v>
      </c>
      <c r="T38" s="91" t="s">
        <v>79</v>
      </c>
      <c r="U38" s="91" t="s">
        <v>84</v>
      </c>
      <c r="V38" s="54" t="s">
        <v>162</v>
      </c>
      <c r="W38" s="54" t="s">
        <v>163</v>
      </c>
      <c r="X38" s="91"/>
      <c r="Y38" s="49" t="s">
        <v>55</v>
      </c>
    </row>
    <row r="39" spans="1:25" ht="27.6" hidden="1" customHeight="1" x14ac:dyDescent="0.25">
      <c r="A39" s="55">
        <v>1045047014</v>
      </c>
      <c r="B39" s="53" t="s">
        <v>139</v>
      </c>
      <c r="C39" s="49">
        <v>6376</v>
      </c>
      <c r="D39" s="49" t="s">
        <v>54</v>
      </c>
      <c r="E39" s="49" t="s">
        <v>55</v>
      </c>
      <c r="F39" s="92"/>
      <c r="G39" s="49"/>
      <c r="H39" s="49"/>
      <c r="I39" s="50"/>
      <c r="J39" s="50"/>
      <c r="K39" s="50"/>
      <c r="L39" s="50"/>
      <c r="M39" s="50"/>
      <c r="N39" s="49" t="str">
        <f>IF(Tabla5[[#This Row],[VALOR INVERSIÓN]]="","",IF(Tabla5[[#This Row],[VALOR INVERSIÓN]]&lt;=10000000,100%*10%*22000,IF(AND(Tabla5[[#This Row],[VALOR INVERSIÓN]]&gt;10000000,Tabla5[[#This Row],[VALOR INVERSIÓN]]&lt;=20000000),60%*10%*22000,20%*10%*22000)))</f>
        <v/>
      </c>
      <c r="O39" s="49" t="str">
        <f>IF(Tabla5[[#This Row],[ROI (MESES)]]="","",IF(Tabla5[[#This Row],[ROI (MESES)]]="N/A","0",IF(Tabla5[[#This Row],[ROI (MESES)]]="&lt;=3",100%*10%*22000,IF(Tabla5[[#This Row],[ROI (MESES)]]="&gt;3&lt;=6",75%*10%*22000,25%*10%*22000))))</f>
        <v/>
      </c>
      <c r="P39" s="49" t="str">
        <f>IF(Tabla5[[#This Row],[FACILIDAD IMPLEM.]]="","",IF(Tabla5[[#This Row],[FACILIDAD IMPLEM.]]="A",100%*10%*22000,IF(AND(Tabla5[[#This Row],[FACILIDAD IMPLEM.]]="B"),50%*10%*22000,20%*10%*22000)))</f>
        <v/>
      </c>
      <c r="Q39" s="49">
        <f>Tabla5[[#This Row],[IMPACTO AMBIENTAL (Máx. 25%)]]*70%*22000+Tabla5[[#This Row],[IMPACTO ECONÓMICO (Máx. 25%)]]*70%*22000+Tabla5[[#This Row],[IMPACTO SST (Máx. 20%)]]*70%*22000+Tabla5[[#This Row],[IMPACTO PRODUCTIVIDAD (Máx. 25%)]]*70%*22000+Tabla5[[#This Row],[IMPACTO ORDEN Y ASEO (Máx. 5%)]]*70%*22000</f>
        <v>0</v>
      </c>
      <c r="R39" s="49" t="str">
        <f>IFERROR(Tabla5[[#This Row],[PUNTOS VALOR INVERSIÓN]]+Tabla5[[#This Row],[PUNTOS ROI ]]+Tabla5[[#This Row],[PUNTOS FACILIDAD IMPLEM. ]]+Tabla5[[#This Row],[PUNTOS IMPACTO ]],"")</f>
        <v/>
      </c>
      <c r="S39" s="54" t="s">
        <v>164</v>
      </c>
      <c r="T39" s="91"/>
      <c r="U39" s="91"/>
      <c r="V39" s="54"/>
      <c r="W39" s="54"/>
      <c r="X39" s="49"/>
      <c r="Y39" s="49"/>
    </row>
    <row r="40" spans="1:25" ht="27.6" hidden="1" customHeight="1" x14ac:dyDescent="0.25">
      <c r="A40" s="64">
        <v>1128479264</v>
      </c>
      <c r="B40" s="96" t="s">
        <v>146</v>
      </c>
      <c r="C40" s="49">
        <v>6377</v>
      </c>
      <c r="D40" s="49" t="s">
        <v>119</v>
      </c>
      <c r="E40" s="49" t="s">
        <v>55</v>
      </c>
      <c r="F40" s="92"/>
      <c r="G40" s="49"/>
      <c r="H40" s="49"/>
      <c r="I40" s="50"/>
      <c r="J40" s="50"/>
      <c r="K40" s="50"/>
      <c r="L40" s="50"/>
      <c r="M40" s="50"/>
      <c r="N40" s="49" t="str">
        <f>IF(Tabla5[[#This Row],[VALOR INVERSIÓN]]="","",IF(Tabla5[[#This Row],[VALOR INVERSIÓN]]&lt;=10000000,100%*10%*22000,IF(AND(Tabla5[[#This Row],[VALOR INVERSIÓN]]&gt;10000000,Tabla5[[#This Row],[VALOR INVERSIÓN]]&lt;=20000000),60%*10%*22000,20%*10%*22000)))</f>
        <v/>
      </c>
      <c r="O40" s="49" t="str">
        <f>IF(Tabla5[[#This Row],[ROI (MESES)]]="","",IF(Tabla5[[#This Row],[ROI (MESES)]]="N/A","0",IF(Tabla5[[#This Row],[ROI (MESES)]]="&lt;=3",100%*10%*22000,IF(Tabla5[[#This Row],[ROI (MESES)]]="&gt;3&lt;=6",75%*10%*22000,25%*10%*22000))))</f>
        <v/>
      </c>
      <c r="P40" s="49" t="str">
        <f>IF(Tabla5[[#This Row],[FACILIDAD IMPLEM.]]="","",IF(Tabla5[[#This Row],[FACILIDAD IMPLEM.]]="A",100%*10%*22000,IF(AND(Tabla5[[#This Row],[FACILIDAD IMPLEM.]]="B"),50%*10%*22000,20%*10%*22000)))</f>
        <v/>
      </c>
      <c r="Q40" s="49">
        <f>Tabla5[[#This Row],[IMPACTO AMBIENTAL (Máx. 25%)]]*70%*22000+Tabla5[[#This Row],[IMPACTO ECONÓMICO (Máx. 25%)]]*70%*22000+Tabla5[[#This Row],[IMPACTO SST (Máx. 20%)]]*70%*22000+Tabla5[[#This Row],[IMPACTO PRODUCTIVIDAD (Máx. 25%)]]*70%*22000+Tabla5[[#This Row],[IMPACTO ORDEN Y ASEO (Máx. 5%)]]*70%*22000</f>
        <v>0</v>
      </c>
      <c r="R40" s="49" t="str">
        <f>IFERROR(Tabla5[[#This Row],[PUNTOS VALOR INVERSIÓN]]+Tabla5[[#This Row],[PUNTOS ROI ]]+Tabla5[[#This Row],[PUNTOS FACILIDAD IMPLEM. ]]+Tabla5[[#This Row],[PUNTOS IMPACTO ]],"")</f>
        <v/>
      </c>
      <c r="S40" s="54" t="s">
        <v>165</v>
      </c>
      <c r="T40" s="91"/>
      <c r="U40" s="91"/>
      <c r="V40" s="54"/>
      <c r="W40" s="54"/>
      <c r="X40" s="49"/>
      <c r="Y40" s="49"/>
    </row>
    <row r="41" spans="1:25" ht="27.6" hidden="1" customHeight="1" x14ac:dyDescent="0.25">
      <c r="A41" s="47">
        <v>3378476</v>
      </c>
      <c r="B41" s="53" t="s">
        <v>166</v>
      </c>
      <c r="C41" s="49">
        <v>6397</v>
      </c>
      <c r="D41" s="49" t="s">
        <v>119</v>
      </c>
      <c r="E41" s="49" t="s">
        <v>55</v>
      </c>
      <c r="F41" s="92"/>
      <c r="G41" s="49"/>
      <c r="H41" s="49"/>
      <c r="I41" s="50"/>
      <c r="J41" s="50"/>
      <c r="K41" s="50"/>
      <c r="L41" s="50"/>
      <c r="M41" s="50"/>
      <c r="N41" s="49" t="str">
        <f>IF(Tabla5[[#This Row],[VALOR INVERSIÓN]]="","",IF(Tabla5[[#This Row],[VALOR INVERSIÓN]]&lt;=10000000,100%*10%*22000,IF(AND(Tabla5[[#This Row],[VALOR INVERSIÓN]]&gt;10000000,Tabla5[[#This Row],[VALOR INVERSIÓN]]&lt;=20000000),60%*10%*22000,20%*10%*22000)))</f>
        <v/>
      </c>
      <c r="O41" s="49" t="str">
        <f>IF(Tabla5[[#This Row],[ROI (MESES)]]="","",IF(Tabla5[[#This Row],[ROI (MESES)]]="N/A","0",IF(Tabla5[[#This Row],[ROI (MESES)]]="&lt;=3",100%*10%*22000,IF(Tabla5[[#This Row],[ROI (MESES)]]="&gt;3&lt;=6",75%*10%*22000,25%*10%*22000))))</f>
        <v/>
      </c>
      <c r="P41" s="49" t="str">
        <f>IF(Tabla5[[#This Row],[FACILIDAD IMPLEM.]]="","",IF(Tabla5[[#This Row],[FACILIDAD IMPLEM.]]="A",100%*10%*22000,IF(AND(Tabla5[[#This Row],[FACILIDAD IMPLEM.]]="B"),50%*10%*22000,20%*10%*22000)))</f>
        <v/>
      </c>
      <c r="Q41" s="49">
        <f>Tabla5[[#This Row],[IMPACTO AMBIENTAL (Máx. 25%)]]*70%*22000+Tabla5[[#This Row],[IMPACTO ECONÓMICO (Máx. 25%)]]*70%*22000+Tabla5[[#This Row],[IMPACTO SST (Máx. 20%)]]*70%*22000+Tabla5[[#This Row],[IMPACTO PRODUCTIVIDAD (Máx. 25%)]]*70%*22000+Tabla5[[#This Row],[IMPACTO ORDEN Y ASEO (Máx. 5%)]]*70%*22000</f>
        <v>0</v>
      </c>
      <c r="R41" s="49" t="str">
        <f>IFERROR(Tabla5[[#This Row],[PUNTOS VALOR INVERSIÓN]]+Tabla5[[#This Row],[PUNTOS ROI ]]+Tabla5[[#This Row],[PUNTOS FACILIDAD IMPLEM. ]]+Tabla5[[#This Row],[PUNTOS IMPACTO ]],"")</f>
        <v/>
      </c>
      <c r="S41" s="54" t="s">
        <v>167</v>
      </c>
      <c r="T41" s="91"/>
      <c r="U41" s="91"/>
      <c r="V41" s="54"/>
      <c r="W41" s="54"/>
      <c r="X41" s="49"/>
      <c r="Y41" s="49"/>
    </row>
    <row r="42" spans="1:25" ht="27.6" x14ac:dyDescent="0.25">
      <c r="A42" s="64">
        <v>1128479264</v>
      </c>
      <c r="B42" s="96" t="s">
        <v>146</v>
      </c>
      <c r="C42" s="49">
        <v>6398</v>
      </c>
      <c r="D42" s="49" t="s">
        <v>119</v>
      </c>
      <c r="E42" s="49" t="s">
        <v>62</v>
      </c>
      <c r="F42" s="107">
        <v>1000000</v>
      </c>
      <c r="G42" s="49" t="s">
        <v>63</v>
      </c>
      <c r="H42" s="49" t="s">
        <v>73</v>
      </c>
      <c r="I42" s="50">
        <v>0</v>
      </c>
      <c r="J42" s="50">
        <v>0</v>
      </c>
      <c r="K42" s="50">
        <v>0</v>
      </c>
      <c r="L42" s="50">
        <v>0</v>
      </c>
      <c r="M42" s="50">
        <v>0</v>
      </c>
      <c r="N42" s="49">
        <f>IF(Tabla5[[#This Row],[VALOR INVERSIÓN]]="","",IF(Tabla5[[#This Row],[VALOR INVERSIÓN]]&lt;=10000000,100%*10%*22000,IF(AND(Tabla5[[#This Row],[VALOR INVERSIÓN]]&gt;10000000,Tabla5[[#This Row],[VALOR INVERSIÓN]]&lt;=20000000),60%*10%*22000,20%*10%*22000)))</f>
        <v>2200</v>
      </c>
      <c r="O42" s="49" t="str">
        <f>IF(Tabla5[[#This Row],[ROI (MESES)]]="","",IF(Tabla5[[#This Row],[ROI (MESES)]]="N/A","0",IF(Tabla5[[#This Row],[ROI (MESES)]]="&lt;=3",100%*10%*22000,IF(Tabla5[[#This Row],[ROI (MESES)]]="&gt;3&lt;=6",75%*10%*22000,25%*10%*22000))))</f>
        <v>0</v>
      </c>
      <c r="P42" s="49">
        <f>IF(Tabla5[[#This Row],[FACILIDAD IMPLEM.]]="","",IF(Tabla5[[#This Row],[FACILIDAD IMPLEM.]]="A",100%*10%*22000,IF(AND(Tabla5[[#This Row],[FACILIDAD IMPLEM.]]="B"),50%*10%*22000,20%*10%*22000)))</f>
        <v>2200</v>
      </c>
      <c r="Q42" s="49">
        <f>Tabla5[[#This Row],[IMPACTO AMBIENTAL (Máx. 25%)]]*70%*22000+Tabla5[[#This Row],[IMPACTO ECONÓMICO (Máx. 25%)]]*70%*22000+Tabla5[[#This Row],[IMPACTO SST (Máx. 20%)]]*70%*22000+Tabla5[[#This Row],[IMPACTO PRODUCTIVIDAD (Máx. 25%)]]*70%*22000+Tabla5[[#This Row],[IMPACTO ORDEN Y ASEO (Máx. 5%)]]*70%*22000</f>
        <v>0</v>
      </c>
      <c r="R42" s="49">
        <f>IFERROR(Tabla5[[#This Row],[PUNTOS VALOR INVERSIÓN]]+Tabla5[[#This Row],[PUNTOS ROI ]]+Tabla5[[#This Row],[PUNTOS FACILIDAD IMPLEM. ]]+Tabla5[[#This Row],[PUNTOS IMPACTO ]],"")</f>
        <v>4400</v>
      </c>
      <c r="S42" s="54" t="s">
        <v>168</v>
      </c>
      <c r="T42" s="91" t="s">
        <v>65</v>
      </c>
      <c r="U42" s="91" t="s">
        <v>84</v>
      </c>
      <c r="V42" s="54" t="s">
        <v>169</v>
      </c>
      <c r="W42" s="54" t="s">
        <v>170</v>
      </c>
      <c r="X42" s="91"/>
      <c r="Y42" s="49" t="s">
        <v>55</v>
      </c>
    </row>
    <row r="43" spans="1:25" ht="55.2" x14ac:dyDescent="0.25">
      <c r="A43" s="47">
        <v>1037572152</v>
      </c>
      <c r="B43" s="53" t="s">
        <v>58</v>
      </c>
      <c r="C43" s="49">
        <v>8972</v>
      </c>
      <c r="D43" s="49" t="s">
        <v>54</v>
      </c>
      <c r="E43" s="49" t="s">
        <v>62</v>
      </c>
      <c r="F43" s="107">
        <v>5000000</v>
      </c>
      <c r="G43" s="49" t="s">
        <v>100</v>
      </c>
      <c r="H43" s="49" t="s">
        <v>73</v>
      </c>
      <c r="I43" s="50">
        <v>0</v>
      </c>
      <c r="J43" s="50">
        <v>0.15</v>
      </c>
      <c r="K43" s="50">
        <v>0</v>
      </c>
      <c r="L43" s="50">
        <v>0</v>
      </c>
      <c r="M43" s="50">
        <v>0</v>
      </c>
      <c r="N43" s="49">
        <f>IF(Tabla5[[#This Row],[VALOR INVERSIÓN]]="","",IF(Tabla5[[#This Row],[VALOR INVERSIÓN]]&lt;=10000000,100%*10%*22000,IF(AND(Tabla5[[#This Row],[VALOR INVERSIÓN]]&gt;10000000,Tabla5[[#This Row],[VALOR INVERSIÓN]]&lt;=20000000),60%*10%*22000,20%*10%*22000)))</f>
        <v>2200</v>
      </c>
      <c r="O43" s="49">
        <f>IF(Tabla5[[#This Row],[ROI (MESES)]]="","",IF(Tabla5[[#This Row],[ROI (MESES)]]="N/A","0",IF(Tabla5[[#This Row],[ROI (MESES)]]="&lt;=3",100%*10%*22000,IF(Tabla5[[#This Row],[ROI (MESES)]]="&gt;3&lt;=6",75%*10%*22000,25%*10%*22000))))</f>
        <v>2200</v>
      </c>
      <c r="P43" s="49">
        <f>IF(Tabla5[[#This Row],[FACILIDAD IMPLEM.]]="","",IF(Tabla5[[#This Row],[FACILIDAD IMPLEM.]]="A",100%*10%*22000,IF(AND(Tabla5[[#This Row],[FACILIDAD IMPLEM.]]="B"),50%*10%*22000,20%*10%*22000)))</f>
        <v>2200</v>
      </c>
      <c r="Q43" s="49">
        <f>Tabla5[[#This Row],[IMPACTO AMBIENTAL (Máx. 25%)]]*70%*22000+Tabla5[[#This Row],[IMPACTO ECONÓMICO (Máx. 25%)]]*70%*22000+Tabla5[[#This Row],[IMPACTO SST (Máx. 20%)]]*70%*22000+Tabla5[[#This Row],[IMPACTO PRODUCTIVIDAD (Máx. 25%)]]*70%*22000+Tabla5[[#This Row],[IMPACTO ORDEN Y ASEO (Máx. 5%)]]*70%*22000</f>
        <v>2310</v>
      </c>
      <c r="R43" s="49">
        <f>IFERROR(Tabla5[[#This Row],[PUNTOS VALOR INVERSIÓN]]+Tabla5[[#This Row],[PUNTOS ROI ]]+Tabla5[[#This Row],[PUNTOS FACILIDAD IMPLEM. ]]+Tabla5[[#This Row],[PUNTOS IMPACTO ]],"")</f>
        <v>8910</v>
      </c>
      <c r="S43" s="54"/>
      <c r="T43" s="91" t="s">
        <v>79</v>
      </c>
      <c r="U43" s="91" t="s">
        <v>89</v>
      </c>
      <c r="V43" s="54" t="s">
        <v>171</v>
      </c>
      <c r="W43" s="54" t="s">
        <v>172</v>
      </c>
      <c r="X43" s="91" t="s">
        <v>173</v>
      </c>
      <c r="Y43" s="49" t="s">
        <v>55</v>
      </c>
    </row>
    <row r="44" spans="1:25" ht="13.95" hidden="1" customHeight="1" x14ac:dyDescent="0.25">
      <c r="A44" s="47">
        <v>1040515524</v>
      </c>
      <c r="B44" s="53" t="s">
        <v>174</v>
      </c>
      <c r="C44" s="49">
        <v>6454</v>
      </c>
      <c r="D44" s="49" t="s">
        <v>54</v>
      </c>
      <c r="E44" s="49" t="s">
        <v>55</v>
      </c>
      <c r="F44" s="92"/>
      <c r="G44" s="49"/>
      <c r="H44" s="49"/>
      <c r="I44" s="50"/>
      <c r="J44" s="50"/>
      <c r="K44" s="50"/>
      <c r="L44" s="50"/>
      <c r="M44" s="50"/>
      <c r="N44" s="49" t="str">
        <f>IF(Tabla5[[#This Row],[VALOR INVERSIÓN]]="","",IF(Tabla5[[#This Row],[VALOR INVERSIÓN]]&lt;=10000000,100%*10%*22000,IF(AND(Tabla5[[#This Row],[VALOR INVERSIÓN]]&gt;10000000,Tabla5[[#This Row],[VALOR INVERSIÓN]]&lt;=20000000),60%*10%*22000,20%*10%*22000)))</f>
        <v/>
      </c>
      <c r="O44" s="49" t="str">
        <f>IF(Tabla5[[#This Row],[ROI (MESES)]]="","",IF(Tabla5[[#This Row],[ROI (MESES)]]="N/A","0",IF(Tabla5[[#This Row],[ROI (MESES)]]="&lt;=3",100%*10%*22000,IF(Tabla5[[#This Row],[ROI (MESES)]]="&gt;3&lt;=6",75%*10%*22000,25%*10%*22000))))</f>
        <v/>
      </c>
      <c r="P44" s="49" t="str">
        <f>IF(Tabla5[[#This Row],[FACILIDAD IMPLEM.]]="","",IF(Tabla5[[#This Row],[FACILIDAD IMPLEM.]]="A",100%*10%*22000,IF(AND(Tabla5[[#This Row],[FACILIDAD IMPLEM.]]="B"),50%*10%*22000,20%*10%*22000)))</f>
        <v/>
      </c>
      <c r="Q44" s="49">
        <f>Tabla5[[#This Row],[IMPACTO AMBIENTAL (Máx. 25%)]]*70%*22000+Tabla5[[#This Row],[IMPACTO ECONÓMICO (Máx. 25%)]]*70%*22000+Tabla5[[#This Row],[IMPACTO SST (Máx. 20%)]]*70%*22000+Tabla5[[#This Row],[IMPACTO PRODUCTIVIDAD (Máx. 25%)]]*70%*22000+Tabla5[[#This Row],[IMPACTO ORDEN Y ASEO (Máx. 5%)]]*70%*22000</f>
        <v>0</v>
      </c>
      <c r="R44" s="49" t="str">
        <f>IFERROR(Tabla5[[#This Row],[PUNTOS VALOR INVERSIÓN]]+Tabla5[[#This Row],[PUNTOS ROI ]]+Tabla5[[#This Row],[PUNTOS FACILIDAD IMPLEM. ]]+Tabla5[[#This Row],[PUNTOS IMPACTO ]],"")</f>
        <v/>
      </c>
      <c r="S44" s="97" t="s">
        <v>175</v>
      </c>
      <c r="T44" s="93"/>
      <c r="U44" s="93"/>
      <c r="V44" s="97"/>
      <c r="W44" s="97"/>
      <c r="X44" s="49"/>
      <c r="Y44" s="49"/>
    </row>
    <row r="45" spans="1:25" ht="13.95" hidden="1" customHeight="1" x14ac:dyDescent="0.25">
      <c r="A45" s="47">
        <v>1040515524</v>
      </c>
      <c r="B45" s="53" t="s">
        <v>174</v>
      </c>
      <c r="C45" s="49">
        <v>6455</v>
      </c>
      <c r="D45" s="49" t="s">
        <v>54</v>
      </c>
      <c r="E45" s="49" t="s">
        <v>55</v>
      </c>
      <c r="F45" s="92"/>
      <c r="G45" s="49"/>
      <c r="H45" s="49"/>
      <c r="I45" s="50"/>
      <c r="J45" s="50"/>
      <c r="K45" s="50"/>
      <c r="L45" s="50"/>
      <c r="M45" s="50"/>
      <c r="N45" s="49" t="str">
        <f>IF(Tabla5[[#This Row],[VALOR INVERSIÓN]]="","",IF(Tabla5[[#This Row],[VALOR INVERSIÓN]]&lt;=10000000,100%*10%*22000,IF(AND(Tabla5[[#This Row],[VALOR INVERSIÓN]]&gt;10000000,Tabla5[[#This Row],[VALOR INVERSIÓN]]&lt;=20000000),60%*10%*22000,20%*10%*22000)))</f>
        <v/>
      </c>
      <c r="O45" s="49" t="str">
        <f>IF(Tabla5[[#This Row],[ROI (MESES)]]="","",IF(Tabla5[[#This Row],[ROI (MESES)]]="N/A","0",IF(Tabla5[[#This Row],[ROI (MESES)]]="&lt;=3",100%*10%*22000,IF(Tabla5[[#This Row],[ROI (MESES)]]="&gt;3&lt;=6",75%*10%*22000,25%*10%*22000))))</f>
        <v/>
      </c>
      <c r="P45" s="49" t="str">
        <f>IF(Tabla5[[#This Row],[FACILIDAD IMPLEM.]]="","",IF(Tabla5[[#This Row],[FACILIDAD IMPLEM.]]="A",100%*10%*22000,IF(AND(Tabla5[[#This Row],[FACILIDAD IMPLEM.]]="B"),50%*10%*22000,20%*10%*22000)))</f>
        <v/>
      </c>
      <c r="Q45" s="49">
        <f>Tabla5[[#This Row],[IMPACTO AMBIENTAL (Máx. 25%)]]*70%*22000+Tabla5[[#This Row],[IMPACTO ECONÓMICO (Máx. 25%)]]*70%*22000+Tabla5[[#This Row],[IMPACTO SST (Máx. 20%)]]*70%*22000+Tabla5[[#This Row],[IMPACTO PRODUCTIVIDAD (Máx. 25%)]]*70%*22000+Tabla5[[#This Row],[IMPACTO ORDEN Y ASEO (Máx. 5%)]]*70%*22000</f>
        <v>0</v>
      </c>
      <c r="R45" s="49" t="str">
        <f>IFERROR(Tabla5[[#This Row],[PUNTOS VALOR INVERSIÓN]]+Tabla5[[#This Row],[PUNTOS ROI ]]+Tabla5[[#This Row],[PUNTOS FACILIDAD IMPLEM. ]]+Tabla5[[#This Row],[PUNTOS IMPACTO ]],"")</f>
        <v/>
      </c>
      <c r="S45" s="97" t="s">
        <v>175</v>
      </c>
      <c r="T45" s="93"/>
      <c r="U45" s="93"/>
      <c r="V45" s="97"/>
      <c r="W45" s="97"/>
      <c r="X45" s="49"/>
      <c r="Y45" s="49"/>
    </row>
    <row r="46" spans="1:25" ht="13.95" hidden="1" customHeight="1" x14ac:dyDescent="0.25">
      <c r="A46" s="64">
        <v>1128479264</v>
      </c>
      <c r="B46" s="96" t="s">
        <v>146</v>
      </c>
      <c r="C46" s="49">
        <v>6495</v>
      </c>
      <c r="D46" s="49" t="s">
        <v>119</v>
      </c>
      <c r="E46" s="49" t="s">
        <v>55</v>
      </c>
      <c r="F46" s="92"/>
      <c r="G46" s="49"/>
      <c r="H46" s="49"/>
      <c r="I46" s="50"/>
      <c r="J46" s="50"/>
      <c r="K46" s="50"/>
      <c r="L46" s="50"/>
      <c r="M46" s="50"/>
      <c r="N46" s="49" t="str">
        <f>IF(Tabla5[[#This Row],[VALOR INVERSIÓN]]="","",IF(Tabla5[[#This Row],[VALOR INVERSIÓN]]&lt;=10000000,100%*10%*22000,IF(AND(Tabla5[[#This Row],[VALOR INVERSIÓN]]&gt;10000000,Tabla5[[#This Row],[VALOR INVERSIÓN]]&lt;=20000000),60%*10%*22000,20%*10%*22000)))</f>
        <v/>
      </c>
      <c r="O46" s="49" t="str">
        <f>IF(Tabla5[[#This Row],[ROI (MESES)]]="","",IF(Tabla5[[#This Row],[ROI (MESES)]]="N/A","0",IF(Tabla5[[#This Row],[ROI (MESES)]]="&lt;=3",100%*10%*22000,IF(Tabla5[[#This Row],[ROI (MESES)]]="&gt;3&lt;=6",75%*10%*22000,25%*10%*22000))))</f>
        <v/>
      </c>
      <c r="P46" s="49" t="str">
        <f>IF(Tabla5[[#This Row],[FACILIDAD IMPLEM.]]="","",IF(Tabla5[[#This Row],[FACILIDAD IMPLEM.]]="A",100%*10%*22000,IF(AND(Tabla5[[#This Row],[FACILIDAD IMPLEM.]]="B"),50%*10%*22000,20%*10%*22000)))</f>
        <v/>
      </c>
      <c r="Q46" s="49">
        <f>Tabla5[[#This Row],[IMPACTO AMBIENTAL (Máx. 25%)]]*70%*22000+Tabla5[[#This Row],[IMPACTO ECONÓMICO (Máx. 25%)]]*70%*22000+Tabla5[[#This Row],[IMPACTO SST (Máx. 20%)]]*70%*22000+Tabla5[[#This Row],[IMPACTO PRODUCTIVIDAD (Máx. 25%)]]*70%*22000+Tabla5[[#This Row],[IMPACTO ORDEN Y ASEO (Máx. 5%)]]*70%*22000</f>
        <v>0</v>
      </c>
      <c r="R46" s="49" t="str">
        <f>IFERROR(Tabla5[[#This Row],[PUNTOS VALOR INVERSIÓN]]+Tabla5[[#This Row],[PUNTOS ROI ]]+Tabla5[[#This Row],[PUNTOS FACILIDAD IMPLEM. ]]+Tabla5[[#This Row],[PUNTOS IMPACTO ]],"")</f>
        <v/>
      </c>
      <c r="S46" s="97" t="s">
        <v>175</v>
      </c>
      <c r="T46" s="93"/>
      <c r="U46" s="93"/>
      <c r="V46" s="97"/>
      <c r="W46" s="97"/>
      <c r="X46" s="49"/>
      <c r="Y46" s="49"/>
    </row>
    <row r="47" spans="1:25" ht="41.4" x14ac:dyDescent="0.25">
      <c r="A47" s="47">
        <v>1110516748</v>
      </c>
      <c r="B47" s="53" t="s">
        <v>176</v>
      </c>
      <c r="C47" s="49">
        <v>6631</v>
      </c>
      <c r="D47" s="49" t="s">
        <v>72</v>
      </c>
      <c r="E47" s="49" t="s">
        <v>62</v>
      </c>
      <c r="F47" s="107">
        <v>60000000</v>
      </c>
      <c r="G47" s="49" t="s">
        <v>83</v>
      </c>
      <c r="H47" s="49" t="s">
        <v>78</v>
      </c>
      <c r="I47" s="50">
        <v>0</v>
      </c>
      <c r="J47" s="50">
        <v>0</v>
      </c>
      <c r="K47" s="50">
        <v>0</v>
      </c>
      <c r="L47" s="50">
        <v>0</v>
      </c>
      <c r="M47" s="50">
        <v>0</v>
      </c>
      <c r="N47" s="49">
        <f>IF(Tabla5[[#This Row],[VALOR INVERSIÓN]]="","",IF(Tabla5[[#This Row],[VALOR INVERSIÓN]]&lt;=10000000,100%*10%*22000,IF(AND(Tabla5[[#This Row],[VALOR INVERSIÓN]]&gt;10000000,Tabla5[[#This Row],[VALOR INVERSIÓN]]&lt;=20000000),60%*10%*22000,20%*10%*22000)))</f>
        <v>440.00000000000011</v>
      </c>
      <c r="O47" s="49">
        <f>IF(Tabla5[[#This Row],[ROI (MESES)]]="","",IF(Tabla5[[#This Row],[ROI (MESES)]]="N/A","0",IF(Tabla5[[#This Row],[ROI (MESES)]]="&lt;=3",100%*10%*22000,IF(Tabla5[[#This Row],[ROI (MESES)]]="&gt;3&lt;=6",75%*10%*22000,25%*10%*22000))))</f>
        <v>550</v>
      </c>
      <c r="P47" s="49">
        <f>IF(Tabla5[[#This Row],[FACILIDAD IMPLEM.]]="","",IF(Tabla5[[#This Row],[FACILIDAD IMPLEM.]]="A",100%*10%*22000,IF(AND(Tabla5[[#This Row],[FACILIDAD IMPLEM.]]="B"),50%*10%*22000,20%*10%*22000)))</f>
        <v>1100</v>
      </c>
      <c r="Q47" s="49">
        <f>Tabla5[[#This Row],[IMPACTO AMBIENTAL (Máx. 25%)]]*70%*22000+Tabla5[[#This Row],[IMPACTO ECONÓMICO (Máx. 25%)]]*70%*22000+Tabla5[[#This Row],[IMPACTO SST (Máx. 20%)]]*70%*22000+Tabla5[[#This Row],[IMPACTO PRODUCTIVIDAD (Máx. 25%)]]*70%*22000+Tabla5[[#This Row],[IMPACTO ORDEN Y ASEO (Máx. 5%)]]*70%*22000</f>
        <v>0</v>
      </c>
      <c r="R47" s="49">
        <f>IFERROR(Tabla5[[#This Row],[PUNTOS VALOR INVERSIÓN]]+Tabla5[[#This Row],[PUNTOS ROI ]]+Tabla5[[#This Row],[PUNTOS FACILIDAD IMPLEM. ]]+Tabla5[[#This Row],[PUNTOS IMPACTO ]],"")</f>
        <v>2090</v>
      </c>
      <c r="S47" s="54" t="s">
        <v>177</v>
      </c>
      <c r="T47" s="91" t="s">
        <v>65</v>
      </c>
      <c r="U47" s="91" t="s">
        <v>84</v>
      </c>
      <c r="V47" s="54" t="s">
        <v>85</v>
      </c>
      <c r="W47" s="54" t="s">
        <v>86</v>
      </c>
      <c r="X47" s="91"/>
      <c r="Y47" s="49" t="s">
        <v>55</v>
      </c>
    </row>
    <row r="48" spans="1:25" ht="27.6" x14ac:dyDescent="0.25">
      <c r="A48" s="47">
        <v>1110516748</v>
      </c>
      <c r="B48" s="53" t="s">
        <v>176</v>
      </c>
      <c r="C48" s="49">
        <v>6632</v>
      </c>
      <c r="D48" s="49" t="s">
        <v>72</v>
      </c>
      <c r="E48" s="49" t="s">
        <v>62</v>
      </c>
      <c r="F48" s="107">
        <v>18000000</v>
      </c>
      <c r="G48" s="49" t="s">
        <v>83</v>
      </c>
      <c r="H48" s="49" t="s">
        <v>73</v>
      </c>
      <c r="I48" s="50">
        <v>0</v>
      </c>
      <c r="J48" s="50">
        <v>0.05</v>
      </c>
      <c r="K48" s="50">
        <v>0</v>
      </c>
      <c r="L48" s="50">
        <v>0</v>
      </c>
      <c r="M48" s="50">
        <v>0</v>
      </c>
      <c r="N48" s="49">
        <f>IF(Tabla5[[#This Row],[VALOR INVERSIÓN]]="","",IF(Tabla5[[#This Row],[VALOR INVERSIÓN]]&lt;=10000000,100%*10%*22000,IF(AND(Tabla5[[#This Row],[VALOR INVERSIÓN]]&gt;10000000,Tabla5[[#This Row],[VALOR INVERSIÓN]]&lt;=20000000),60%*10%*22000,20%*10%*22000)))</f>
        <v>1320</v>
      </c>
      <c r="O48" s="49">
        <f>IF(Tabla5[[#This Row],[ROI (MESES)]]="","",IF(Tabla5[[#This Row],[ROI (MESES)]]="N/A","0",IF(Tabla5[[#This Row],[ROI (MESES)]]="&lt;=3",100%*10%*22000,IF(Tabla5[[#This Row],[ROI (MESES)]]="&gt;3&lt;=6",75%*10%*22000,25%*10%*22000))))</f>
        <v>550</v>
      </c>
      <c r="P48" s="49">
        <f>IF(Tabla5[[#This Row],[FACILIDAD IMPLEM.]]="","",IF(Tabla5[[#This Row],[FACILIDAD IMPLEM.]]="A",100%*10%*22000,IF(AND(Tabla5[[#This Row],[FACILIDAD IMPLEM.]]="B"),50%*10%*22000,20%*10%*22000)))</f>
        <v>2200</v>
      </c>
      <c r="Q48" s="49">
        <f>Tabla5[[#This Row],[IMPACTO AMBIENTAL (Máx. 25%)]]*70%*22000+Tabla5[[#This Row],[IMPACTO ECONÓMICO (Máx. 25%)]]*70%*22000+Tabla5[[#This Row],[IMPACTO SST (Máx. 20%)]]*70%*22000+Tabla5[[#This Row],[IMPACTO PRODUCTIVIDAD (Máx. 25%)]]*70%*22000+Tabla5[[#This Row],[IMPACTO ORDEN Y ASEO (Máx. 5%)]]*70%*22000</f>
        <v>769.99999999999989</v>
      </c>
      <c r="R48" s="49">
        <f>IFERROR(Tabla5[[#This Row],[PUNTOS VALOR INVERSIÓN]]+Tabla5[[#This Row],[PUNTOS ROI ]]+Tabla5[[#This Row],[PUNTOS FACILIDAD IMPLEM. ]]+Tabla5[[#This Row],[PUNTOS IMPACTO ]],"")</f>
        <v>4840</v>
      </c>
      <c r="S48" s="54" t="s">
        <v>178</v>
      </c>
      <c r="T48" s="91" t="s">
        <v>65</v>
      </c>
      <c r="U48" s="91" t="s">
        <v>110</v>
      </c>
      <c r="V48" s="54" t="s">
        <v>179</v>
      </c>
      <c r="W48" s="54" t="s">
        <v>75</v>
      </c>
      <c r="X48" s="91" t="s">
        <v>180</v>
      </c>
      <c r="Y48" s="49" t="s">
        <v>105</v>
      </c>
    </row>
    <row r="49" spans="1:25" ht="13.95" hidden="1" customHeight="1" x14ac:dyDescent="0.25">
      <c r="A49" s="47">
        <v>98553008</v>
      </c>
      <c r="B49" s="53" t="s">
        <v>181</v>
      </c>
      <c r="C49" s="49">
        <v>6633</v>
      </c>
      <c r="D49" s="49" t="s">
        <v>72</v>
      </c>
      <c r="E49" s="49" t="s">
        <v>55</v>
      </c>
      <c r="F49" s="92"/>
      <c r="G49" s="49"/>
      <c r="H49" s="49"/>
      <c r="I49" s="50"/>
      <c r="J49" s="50"/>
      <c r="K49" s="50"/>
      <c r="L49" s="50"/>
      <c r="M49" s="50"/>
      <c r="N49" s="49" t="str">
        <f>IF(Tabla5[[#This Row],[VALOR INVERSIÓN]]="","",IF(Tabla5[[#This Row],[VALOR INVERSIÓN]]&lt;=10000000,100%*10%*22000,IF(AND(Tabla5[[#This Row],[VALOR INVERSIÓN]]&gt;10000000,Tabla5[[#This Row],[VALOR INVERSIÓN]]&lt;=20000000),60%*10%*22000,20%*10%*22000)))</f>
        <v/>
      </c>
      <c r="O49" s="49" t="str">
        <f>IF(Tabla5[[#This Row],[ROI (MESES)]]="","",IF(Tabla5[[#This Row],[ROI (MESES)]]="N/A","0",IF(Tabla5[[#This Row],[ROI (MESES)]]="&lt;=3",100%*10%*22000,IF(Tabla5[[#This Row],[ROI (MESES)]]="&gt;3&lt;=6",75%*10%*22000,25%*10%*22000))))</f>
        <v/>
      </c>
      <c r="P49" s="49" t="str">
        <f>IF(Tabla5[[#This Row],[FACILIDAD IMPLEM.]]="","",IF(Tabla5[[#This Row],[FACILIDAD IMPLEM.]]="A",100%*10%*22000,IF(AND(Tabla5[[#This Row],[FACILIDAD IMPLEM.]]="B"),50%*10%*22000,20%*10%*22000)))</f>
        <v/>
      </c>
      <c r="Q49" s="49">
        <f>Tabla5[[#This Row],[IMPACTO AMBIENTAL (Máx. 25%)]]*70%*22000+Tabla5[[#This Row],[IMPACTO ECONÓMICO (Máx. 25%)]]*70%*22000+Tabla5[[#This Row],[IMPACTO SST (Máx. 20%)]]*70%*22000+Tabla5[[#This Row],[IMPACTO PRODUCTIVIDAD (Máx. 25%)]]*70%*22000+Tabla5[[#This Row],[IMPACTO ORDEN Y ASEO (Máx. 5%)]]*70%*22000</f>
        <v>0</v>
      </c>
      <c r="R49" s="49" t="str">
        <f>IFERROR(Tabla5[[#This Row],[PUNTOS VALOR INVERSIÓN]]+Tabla5[[#This Row],[PUNTOS ROI ]]+Tabla5[[#This Row],[PUNTOS FACILIDAD IMPLEM. ]]+Tabla5[[#This Row],[PUNTOS IMPACTO ]],"")</f>
        <v/>
      </c>
      <c r="S49" s="97" t="s">
        <v>182</v>
      </c>
      <c r="T49" s="93"/>
      <c r="U49" s="93"/>
      <c r="V49" s="97"/>
      <c r="W49" s="97"/>
      <c r="X49" s="49"/>
      <c r="Y49" s="49"/>
    </row>
    <row r="50" spans="1:25" ht="41.4" hidden="1" customHeight="1" x14ac:dyDescent="0.25">
      <c r="A50" s="47">
        <v>1035918433</v>
      </c>
      <c r="B50" s="53" t="s">
        <v>155</v>
      </c>
      <c r="C50" s="49">
        <v>6696</v>
      </c>
      <c r="D50" s="49" t="s">
        <v>54</v>
      </c>
      <c r="E50" s="49" t="s">
        <v>55</v>
      </c>
      <c r="F50" s="92"/>
      <c r="G50" s="49"/>
      <c r="H50" s="49"/>
      <c r="I50" s="50"/>
      <c r="J50" s="50"/>
      <c r="K50" s="50"/>
      <c r="L50" s="50"/>
      <c r="M50" s="50"/>
      <c r="N50" s="49" t="str">
        <f>IF(Tabla5[[#This Row],[VALOR INVERSIÓN]]="","",IF(Tabla5[[#This Row],[VALOR INVERSIÓN]]&lt;=10000000,100%*10%*22000,IF(AND(Tabla5[[#This Row],[VALOR INVERSIÓN]]&gt;10000000,Tabla5[[#This Row],[VALOR INVERSIÓN]]&lt;=20000000),60%*10%*22000,20%*10%*22000)))</f>
        <v/>
      </c>
      <c r="O50" s="49" t="str">
        <f>IF(Tabla5[[#This Row],[ROI (MESES)]]="","",IF(Tabla5[[#This Row],[ROI (MESES)]]="N/A","0",IF(Tabla5[[#This Row],[ROI (MESES)]]="&lt;=3",100%*10%*22000,IF(Tabla5[[#This Row],[ROI (MESES)]]="&gt;3&lt;=6",75%*10%*22000,25%*10%*22000))))</f>
        <v/>
      </c>
      <c r="P50" s="49" t="str">
        <f>IF(Tabla5[[#This Row],[FACILIDAD IMPLEM.]]="","",IF(Tabla5[[#This Row],[FACILIDAD IMPLEM.]]="A",100%*10%*22000,IF(AND(Tabla5[[#This Row],[FACILIDAD IMPLEM.]]="B"),50%*10%*22000,20%*10%*22000)))</f>
        <v/>
      </c>
      <c r="Q50" s="49">
        <f>Tabla5[[#This Row],[IMPACTO AMBIENTAL (Máx. 25%)]]*70%*22000+Tabla5[[#This Row],[IMPACTO ECONÓMICO (Máx. 25%)]]*70%*22000+Tabla5[[#This Row],[IMPACTO SST (Máx. 20%)]]*70%*22000+Tabla5[[#This Row],[IMPACTO PRODUCTIVIDAD (Máx. 25%)]]*70%*22000+Tabla5[[#This Row],[IMPACTO ORDEN Y ASEO (Máx. 5%)]]*70%*22000</f>
        <v>0</v>
      </c>
      <c r="R50" s="49" t="str">
        <f>IFERROR(Tabla5[[#This Row],[PUNTOS VALOR INVERSIÓN]]+Tabla5[[#This Row],[PUNTOS ROI ]]+Tabla5[[#This Row],[PUNTOS FACILIDAD IMPLEM. ]]+Tabla5[[#This Row],[PUNTOS IMPACTO ]],"")</f>
        <v/>
      </c>
      <c r="S50" s="54" t="s">
        <v>183</v>
      </c>
      <c r="T50" s="91"/>
      <c r="U50" s="91"/>
      <c r="V50" s="54"/>
      <c r="W50" s="54"/>
      <c r="X50" s="49"/>
      <c r="Y50" s="49"/>
    </row>
    <row r="51" spans="1:25" ht="27.6" x14ac:dyDescent="0.25">
      <c r="A51" s="47">
        <v>1040515524</v>
      </c>
      <c r="B51" s="53" t="s">
        <v>174</v>
      </c>
      <c r="C51" s="49">
        <v>6729</v>
      </c>
      <c r="D51" s="49" t="s">
        <v>54</v>
      </c>
      <c r="E51" s="49" t="s">
        <v>62</v>
      </c>
      <c r="F51" s="107">
        <v>600000</v>
      </c>
      <c r="G51" s="49" t="s">
        <v>83</v>
      </c>
      <c r="H51" s="49" t="s">
        <v>73</v>
      </c>
      <c r="I51" s="50">
        <v>0</v>
      </c>
      <c r="J51" s="50">
        <v>0</v>
      </c>
      <c r="K51" s="50">
        <v>0</v>
      </c>
      <c r="L51" s="50">
        <v>0</v>
      </c>
      <c r="M51" s="50">
        <v>0</v>
      </c>
      <c r="N51" s="49">
        <f>IF(Tabla5[[#This Row],[VALOR INVERSIÓN]]="","",IF(Tabla5[[#This Row],[VALOR INVERSIÓN]]&lt;=10000000,100%*10%*22000,IF(AND(Tabla5[[#This Row],[VALOR INVERSIÓN]]&gt;10000000,Tabla5[[#This Row],[VALOR INVERSIÓN]]&lt;=20000000),60%*10%*22000,20%*10%*22000)))</f>
        <v>2200</v>
      </c>
      <c r="O51" s="49">
        <f>IF(Tabla5[[#This Row],[ROI (MESES)]]="","",IF(Tabla5[[#This Row],[ROI (MESES)]]="N/A","0",IF(Tabla5[[#This Row],[ROI (MESES)]]="&lt;=3",100%*10%*22000,IF(Tabla5[[#This Row],[ROI (MESES)]]="&gt;3&lt;=6",75%*10%*22000,25%*10%*22000))))</f>
        <v>550</v>
      </c>
      <c r="P51" s="49">
        <f>IF(Tabla5[[#This Row],[FACILIDAD IMPLEM.]]="","",IF(Tabla5[[#This Row],[FACILIDAD IMPLEM.]]="A",100%*10%*22000,IF(AND(Tabla5[[#This Row],[FACILIDAD IMPLEM.]]="B"),50%*10%*22000,20%*10%*22000)))</f>
        <v>2200</v>
      </c>
      <c r="Q51" s="49">
        <f>Tabla5[[#This Row],[IMPACTO AMBIENTAL (Máx. 25%)]]*70%*22000+Tabla5[[#This Row],[IMPACTO ECONÓMICO (Máx. 25%)]]*70%*22000+Tabla5[[#This Row],[IMPACTO SST (Máx. 20%)]]*70%*22000+Tabla5[[#This Row],[IMPACTO PRODUCTIVIDAD (Máx. 25%)]]*70%*22000+Tabla5[[#This Row],[IMPACTO ORDEN Y ASEO (Máx. 5%)]]*70%*22000</f>
        <v>0</v>
      </c>
      <c r="R51" s="49">
        <f>IFERROR(Tabla5[[#This Row],[PUNTOS VALOR INVERSIÓN]]+Tabla5[[#This Row],[PUNTOS ROI ]]+Tabla5[[#This Row],[PUNTOS FACILIDAD IMPLEM. ]]+Tabla5[[#This Row],[PUNTOS IMPACTO ]],"")</f>
        <v>4950</v>
      </c>
      <c r="S51" s="54" t="s">
        <v>184</v>
      </c>
      <c r="T51" s="91" t="s">
        <v>65</v>
      </c>
      <c r="U51" s="91" t="s">
        <v>66</v>
      </c>
      <c r="V51" s="54" t="s">
        <v>185</v>
      </c>
      <c r="W51" s="54" t="s">
        <v>186</v>
      </c>
      <c r="X51" s="91" t="s">
        <v>187</v>
      </c>
      <c r="Y51" s="49" t="s">
        <v>105</v>
      </c>
    </row>
    <row r="52" spans="1:25" ht="27.6" x14ac:dyDescent="0.25">
      <c r="A52" s="47">
        <v>1059704792</v>
      </c>
      <c r="B52" s="53" t="s">
        <v>118</v>
      </c>
      <c r="C52" s="49">
        <v>5917</v>
      </c>
      <c r="D52" s="49" t="s">
        <v>119</v>
      </c>
      <c r="E52" s="49" t="s">
        <v>62</v>
      </c>
      <c r="F52" s="107">
        <v>1000000</v>
      </c>
      <c r="G52" s="49" t="s">
        <v>100</v>
      </c>
      <c r="H52" s="49" t="s">
        <v>64</v>
      </c>
      <c r="I52" s="50">
        <v>0.05</v>
      </c>
      <c r="J52" s="50">
        <v>0.09</v>
      </c>
      <c r="K52" s="50">
        <v>0</v>
      </c>
      <c r="L52" s="50">
        <v>0.06</v>
      </c>
      <c r="M52" s="50">
        <v>0</v>
      </c>
      <c r="N52" s="49">
        <f>IF(Tabla5[[#This Row],[VALOR INVERSIÓN]]="","",IF(Tabla5[[#This Row],[VALOR INVERSIÓN]]&lt;=10000000,100%*10%*22000,IF(AND(Tabla5[[#This Row],[VALOR INVERSIÓN]]&gt;10000000,Tabla5[[#This Row],[VALOR INVERSIÓN]]&lt;=20000000),60%*10%*22000,20%*10%*22000)))</f>
        <v>2200</v>
      </c>
      <c r="O52" s="49">
        <f>IF(Tabla5[[#This Row],[ROI (MESES)]]="","",IF(Tabla5[[#This Row],[ROI (MESES)]]="N/A","0",IF(Tabla5[[#This Row],[ROI (MESES)]]="&lt;=3",100%*10%*22000,IF(Tabla5[[#This Row],[ROI (MESES)]]="&gt;3&lt;=6",75%*10%*22000,25%*10%*22000))))</f>
        <v>2200</v>
      </c>
      <c r="P52" s="49">
        <f>IF(Tabla5[[#This Row],[FACILIDAD IMPLEM.]]="","",IF(Tabla5[[#This Row],[FACILIDAD IMPLEM.]]="A",100%*10%*22000,IF(AND(Tabla5[[#This Row],[FACILIDAD IMPLEM.]]="B"),50%*10%*22000,20%*10%*22000)))</f>
        <v>440.00000000000011</v>
      </c>
      <c r="Q52" s="49">
        <f>Tabla5[[#This Row],[IMPACTO AMBIENTAL (Máx. 25%)]]*70%*22000+Tabla5[[#This Row],[IMPACTO ECONÓMICO (Máx. 25%)]]*70%*22000+Tabla5[[#This Row],[IMPACTO SST (Máx. 20%)]]*70%*22000+Tabla5[[#This Row],[IMPACTO PRODUCTIVIDAD (Máx. 25%)]]*70%*22000+Tabla5[[#This Row],[IMPACTO ORDEN Y ASEO (Máx. 5%)]]*70%*22000</f>
        <v>3080</v>
      </c>
      <c r="R52" s="49">
        <f>IFERROR(Tabla5[[#This Row],[PUNTOS VALOR INVERSIÓN]]+Tabla5[[#This Row],[PUNTOS ROI ]]+Tabla5[[#This Row],[PUNTOS FACILIDAD IMPLEM. ]]+Tabla5[[#This Row],[PUNTOS IMPACTO ]],"")</f>
        <v>7920</v>
      </c>
      <c r="S52" s="54" t="s">
        <v>121</v>
      </c>
      <c r="T52" s="91" t="s">
        <v>79</v>
      </c>
      <c r="U52" s="91" t="s">
        <v>89</v>
      </c>
      <c r="V52" s="54" t="s">
        <v>188</v>
      </c>
      <c r="W52" s="54" t="s">
        <v>189</v>
      </c>
      <c r="X52" s="91" t="s">
        <v>190</v>
      </c>
      <c r="Y52" s="49" t="s">
        <v>77</v>
      </c>
    </row>
    <row r="53" spans="1:25" ht="27.6" hidden="1" customHeight="1" x14ac:dyDescent="0.25">
      <c r="A53" s="47">
        <v>1036394175</v>
      </c>
      <c r="B53" s="53" t="s">
        <v>191</v>
      </c>
      <c r="C53" s="49">
        <v>6770</v>
      </c>
      <c r="D53" s="49" t="s">
        <v>54</v>
      </c>
      <c r="E53" s="49" t="s">
        <v>55</v>
      </c>
      <c r="F53" s="92"/>
      <c r="G53" s="49"/>
      <c r="H53" s="49"/>
      <c r="I53" s="50"/>
      <c r="J53" s="50"/>
      <c r="K53" s="50"/>
      <c r="L53" s="50"/>
      <c r="M53" s="50"/>
      <c r="N53" s="49" t="str">
        <f>IF(Tabla5[[#This Row],[VALOR INVERSIÓN]]="","",IF(Tabla5[[#This Row],[VALOR INVERSIÓN]]&lt;=10000000,100%*10%*22000,IF(AND(Tabla5[[#This Row],[VALOR INVERSIÓN]]&gt;10000000,Tabla5[[#This Row],[VALOR INVERSIÓN]]&lt;=20000000),60%*10%*22000,20%*10%*22000)))</f>
        <v/>
      </c>
      <c r="O53" s="49" t="str">
        <f>IF(Tabla5[[#This Row],[ROI (MESES)]]="","",IF(Tabla5[[#This Row],[ROI (MESES)]]="N/A","0",IF(Tabla5[[#This Row],[ROI (MESES)]]="&lt;=3",100%*10%*22000,IF(Tabla5[[#This Row],[ROI (MESES)]]="&gt;3&lt;=6",75%*10%*22000,25%*10%*22000))))</f>
        <v/>
      </c>
      <c r="P53" s="49" t="str">
        <f>IF(Tabla5[[#This Row],[FACILIDAD IMPLEM.]]="","",IF(Tabla5[[#This Row],[FACILIDAD IMPLEM.]]="A",100%*10%*22000,IF(AND(Tabla5[[#This Row],[FACILIDAD IMPLEM.]]="B"),50%*10%*22000,20%*10%*22000)))</f>
        <v/>
      </c>
      <c r="Q53" s="49">
        <f>Tabla5[[#This Row],[IMPACTO AMBIENTAL (Máx. 25%)]]*70%*22000+Tabla5[[#This Row],[IMPACTO ECONÓMICO (Máx. 25%)]]*70%*22000+Tabla5[[#This Row],[IMPACTO SST (Máx. 20%)]]*70%*22000+Tabla5[[#This Row],[IMPACTO PRODUCTIVIDAD (Máx. 25%)]]*70%*22000+Tabla5[[#This Row],[IMPACTO ORDEN Y ASEO (Máx. 5%)]]*70%*22000</f>
        <v>0</v>
      </c>
      <c r="R53" s="49" t="str">
        <f>IFERROR(Tabla5[[#This Row],[PUNTOS VALOR INVERSIÓN]]+Tabla5[[#This Row],[PUNTOS ROI ]]+Tabla5[[#This Row],[PUNTOS FACILIDAD IMPLEM. ]]+Tabla5[[#This Row],[PUNTOS IMPACTO ]],"")</f>
        <v/>
      </c>
      <c r="S53" s="54" t="s">
        <v>192</v>
      </c>
      <c r="T53" s="91"/>
      <c r="U53" s="91"/>
      <c r="V53" s="54"/>
      <c r="W53" s="54"/>
      <c r="X53" s="49"/>
      <c r="Y53" s="49"/>
    </row>
    <row r="54" spans="1:25" ht="27.6" hidden="1" customHeight="1" x14ac:dyDescent="0.25">
      <c r="A54" s="47">
        <v>4116903</v>
      </c>
      <c r="B54" s="53" t="s">
        <v>125</v>
      </c>
      <c r="C54" s="49">
        <v>6826</v>
      </c>
      <c r="D54" s="49" t="s">
        <v>54</v>
      </c>
      <c r="E54" s="49" t="s">
        <v>55</v>
      </c>
      <c r="F54" s="92"/>
      <c r="G54" s="49"/>
      <c r="H54" s="49"/>
      <c r="I54" s="50"/>
      <c r="J54" s="50"/>
      <c r="K54" s="50"/>
      <c r="L54" s="50"/>
      <c r="M54" s="50"/>
      <c r="N54" s="49" t="str">
        <f>IF(Tabla5[[#This Row],[VALOR INVERSIÓN]]="","",IF(Tabla5[[#This Row],[VALOR INVERSIÓN]]&lt;=10000000,100%*10%*22000,IF(AND(Tabla5[[#This Row],[VALOR INVERSIÓN]]&gt;10000000,Tabla5[[#This Row],[VALOR INVERSIÓN]]&lt;=20000000),60%*10%*22000,20%*10%*22000)))</f>
        <v/>
      </c>
      <c r="O54" s="49" t="str">
        <f>IF(Tabla5[[#This Row],[ROI (MESES)]]="","",IF(Tabla5[[#This Row],[ROI (MESES)]]="N/A","0",IF(Tabla5[[#This Row],[ROI (MESES)]]="&lt;=3",100%*10%*22000,IF(Tabla5[[#This Row],[ROI (MESES)]]="&gt;3&lt;=6",75%*10%*22000,25%*10%*22000))))</f>
        <v/>
      </c>
      <c r="P54" s="49" t="str">
        <f>IF(Tabla5[[#This Row],[FACILIDAD IMPLEM.]]="","",IF(Tabla5[[#This Row],[FACILIDAD IMPLEM.]]="A",100%*10%*22000,IF(AND(Tabla5[[#This Row],[FACILIDAD IMPLEM.]]="B"),50%*10%*22000,20%*10%*22000)))</f>
        <v/>
      </c>
      <c r="Q54" s="49">
        <f>Tabla5[[#This Row],[IMPACTO AMBIENTAL (Máx. 25%)]]*70%*22000+Tabla5[[#This Row],[IMPACTO ECONÓMICO (Máx. 25%)]]*70%*22000+Tabla5[[#This Row],[IMPACTO SST (Máx. 20%)]]*70%*22000+Tabla5[[#This Row],[IMPACTO PRODUCTIVIDAD (Máx. 25%)]]*70%*22000+Tabla5[[#This Row],[IMPACTO ORDEN Y ASEO (Máx. 5%)]]*70%*22000</f>
        <v>0</v>
      </c>
      <c r="R54" s="49" t="str">
        <f>IFERROR(Tabla5[[#This Row],[PUNTOS VALOR INVERSIÓN]]+Tabla5[[#This Row],[PUNTOS ROI ]]+Tabla5[[#This Row],[PUNTOS FACILIDAD IMPLEM. ]]+Tabla5[[#This Row],[PUNTOS IMPACTO ]],"")</f>
        <v/>
      </c>
      <c r="S54" s="54" t="s">
        <v>193</v>
      </c>
      <c r="T54" s="91"/>
      <c r="U54" s="91"/>
      <c r="V54" s="54"/>
      <c r="W54" s="54"/>
      <c r="X54" s="49"/>
      <c r="Y54" s="49"/>
    </row>
    <row r="55" spans="1:25" ht="55.2" x14ac:dyDescent="0.25">
      <c r="A55" s="64">
        <v>1128479264</v>
      </c>
      <c r="B55" s="96" t="s">
        <v>146</v>
      </c>
      <c r="C55" s="49">
        <v>7323</v>
      </c>
      <c r="D55" s="49" t="s">
        <v>119</v>
      </c>
      <c r="E55" s="49" t="s">
        <v>62</v>
      </c>
      <c r="F55" s="107">
        <v>1000000</v>
      </c>
      <c r="G55" s="49" t="s">
        <v>100</v>
      </c>
      <c r="H55" s="49" t="s">
        <v>73</v>
      </c>
      <c r="I55" s="50">
        <v>0</v>
      </c>
      <c r="J55" s="50">
        <v>0.08</v>
      </c>
      <c r="K55" s="50">
        <v>0</v>
      </c>
      <c r="L55" s="50">
        <v>0</v>
      </c>
      <c r="M55" s="50">
        <v>0</v>
      </c>
      <c r="N55" s="49">
        <f>IF(Tabla5[[#This Row],[VALOR INVERSIÓN]]="","",IF(Tabla5[[#This Row],[VALOR INVERSIÓN]]&lt;=10000000,100%*10%*22000,IF(AND(Tabla5[[#This Row],[VALOR INVERSIÓN]]&gt;10000000,Tabla5[[#This Row],[VALOR INVERSIÓN]]&lt;=20000000),60%*10%*22000,20%*10%*22000)))</f>
        <v>2200</v>
      </c>
      <c r="O55" s="49">
        <f>IF(Tabla5[[#This Row],[ROI (MESES)]]="","",IF(Tabla5[[#This Row],[ROI (MESES)]]="N/A","0",IF(Tabla5[[#This Row],[ROI (MESES)]]="&lt;=3",100%*10%*22000,IF(Tabla5[[#This Row],[ROI (MESES)]]="&gt;3&lt;=6",75%*10%*22000,25%*10%*22000))))</f>
        <v>2200</v>
      </c>
      <c r="P55" s="49">
        <f>IF(Tabla5[[#This Row],[FACILIDAD IMPLEM.]]="","",IF(Tabla5[[#This Row],[FACILIDAD IMPLEM.]]="A",100%*10%*22000,IF(AND(Tabla5[[#This Row],[FACILIDAD IMPLEM.]]="B"),50%*10%*22000,20%*10%*22000)))</f>
        <v>2200</v>
      </c>
      <c r="Q55" s="49">
        <f>Tabla5[[#This Row],[IMPACTO AMBIENTAL (Máx. 25%)]]*70%*22000+Tabla5[[#This Row],[IMPACTO ECONÓMICO (Máx. 25%)]]*70%*22000+Tabla5[[#This Row],[IMPACTO SST (Máx. 20%)]]*70%*22000+Tabla5[[#This Row],[IMPACTO PRODUCTIVIDAD (Máx. 25%)]]*70%*22000+Tabla5[[#This Row],[IMPACTO ORDEN Y ASEO (Máx. 5%)]]*70%*22000</f>
        <v>1231.9999999999998</v>
      </c>
      <c r="R55" s="49">
        <f>IFERROR(Tabla5[[#This Row],[PUNTOS VALOR INVERSIÓN]]+Tabla5[[#This Row],[PUNTOS ROI ]]+Tabla5[[#This Row],[PUNTOS FACILIDAD IMPLEM. ]]+Tabla5[[#This Row],[PUNTOS IMPACTO ]],"")</f>
        <v>7832</v>
      </c>
      <c r="S55" s="54"/>
      <c r="T55" s="91" t="s">
        <v>79</v>
      </c>
      <c r="U55" s="91" t="s">
        <v>89</v>
      </c>
      <c r="V55" s="54" t="s">
        <v>194</v>
      </c>
      <c r="W55" s="54" t="s">
        <v>195</v>
      </c>
      <c r="X55" s="91" t="s">
        <v>196</v>
      </c>
      <c r="Y55" s="49" t="s">
        <v>105</v>
      </c>
    </row>
    <row r="56" spans="1:25" ht="13.95" hidden="1" customHeight="1" x14ac:dyDescent="0.25">
      <c r="A56" s="64">
        <v>1128479264</v>
      </c>
      <c r="B56" s="96" t="s">
        <v>146</v>
      </c>
      <c r="C56" s="49">
        <v>7324</v>
      </c>
      <c r="D56" s="49" t="s">
        <v>119</v>
      </c>
      <c r="E56" s="49" t="s">
        <v>55</v>
      </c>
      <c r="F56" s="92"/>
      <c r="G56" s="49"/>
      <c r="H56" s="49"/>
      <c r="I56" s="50"/>
      <c r="J56" s="50"/>
      <c r="K56" s="50"/>
      <c r="L56" s="50"/>
      <c r="M56" s="50"/>
      <c r="N56" s="49" t="str">
        <f>IF(Tabla5[[#This Row],[VALOR INVERSIÓN]]="","",IF(Tabla5[[#This Row],[VALOR INVERSIÓN]]&lt;=10000000,100%*10%*22000,IF(AND(Tabla5[[#This Row],[VALOR INVERSIÓN]]&gt;10000000,Tabla5[[#This Row],[VALOR INVERSIÓN]]&lt;=20000000),60%*10%*22000,20%*10%*22000)))</f>
        <v/>
      </c>
      <c r="O56" s="49" t="str">
        <f>IF(Tabla5[[#This Row],[ROI (MESES)]]="","",IF(Tabla5[[#This Row],[ROI (MESES)]]="N/A","0",IF(Tabla5[[#This Row],[ROI (MESES)]]="&lt;=3",100%*10%*22000,IF(Tabla5[[#This Row],[ROI (MESES)]]="&gt;3&lt;=6",75%*10%*22000,25%*10%*22000))))</f>
        <v/>
      </c>
      <c r="P56" s="49" t="str">
        <f>IF(Tabla5[[#This Row],[FACILIDAD IMPLEM.]]="","",IF(Tabla5[[#This Row],[FACILIDAD IMPLEM.]]="A",100%*10%*22000,IF(AND(Tabla5[[#This Row],[FACILIDAD IMPLEM.]]="B"),50%*10%*22000,20%*10%*22000)))</f>
        <v/>
      </c>
      <c r="Q56" s="49">
        <f>Tabla5[[#This Row],[IMPACTO AMBIENTAL (Máx. 25%)]]*70%*22000+Tabla5[[#This Row],[IMPACTO ECONÓMICO (Máx. 25%)]]*70%*22000+Tabla5[[#This Row],[IMPACTO SST (Máx. 20%)]]*70%*22000+Tabla5[[#This Row],[IMPACTO PRODUCTIVIDAD (Máx. 25%)]]*70%*22000+Tabla5[[#This Row],[IMPACTO ORDEN Y ASEO (Máx. 5%)]]*70%*22000</f>
        <v>0</v>
      </c>
      <c r="R56" s="49" t="str">
        <f>IFERROR(Tabla5[[#This Row],[PUNTOS VALOR INVERSIÓN]]+Tabla5[[#This Row],[PUNTOS ROI ]]+Tabla5[[#This Row],[PUNTOS FACILIDAD IMPLEM. ]]+Tabla5[[#This Row],[PUNTOS IMPACTO ]],"")</f>
        <v/>
      </c>
      <c r="S56" s="54"/>
      <c r="T56" s="91"/>
      <c r="U56" s="91"/>
      <c r="V56" s="54"/>
      <c r="W56" s="54"/>
      <c r="X56" s="49"/>
      <c r="Y56" s="49"/>
    </row>
    <row r="57" spans="1:25" ht="27.6" x14ac:dyDescent="0.25">
      <c r="A57" s="47">
        <v>1020104155</v>
      </c>
      <c r="B57" s="53" t="s">
        <v>197</v>
      </c>
      <c r="C57" s="49">
        <v>7325</v>
      </c>
      <c r="D57" s="49" t="s">
        <v>54</v>
      </c>
      <c r="E57" s="49" t="s">
        <v>62</v>
      </c>
      <c r="F57" s="107">
        <v>50000000</v>
      </c>
      <c r="G57" s="49" t="s">
        <v>83</v>
      </c>
      <c r="H57" s="49" t="s">
        <v>78</v>
      </c>
      <c r="I57" s="50">
        <v>0</v>
      </c>
      <c r="J57" s="50">
        <v>0.03</v>
      </c>
      <c r="K57" s="50">
        <v>0</v>
      </c>
      <c r="L57" s="50">
        <v>0</v>
      </c>
      <c r="M57" s="50">
        <v>0.03</v>
      </c>
      <c r="N57" s="49">
        <f>IF(Tabla5[[#This Row],[VALOR INVERSIÓN]]="","",IF(Tabla5[[#This Row],[VALOR INVERSIÓN]]&lt;=10000000,100%*10%*22000,IF(AND(Tabla5[[#This Row],[VALOR INVERSIÓN]]&gt;10000000,Tabla5[[#This Row],[VALOR INVERSIÓN]]&lt;=20000000),60%*10%*22000,20%*10%*22000)))</f>
        <v>440.00000000000011</v>
      </c>
      <c r="O57" s="49">
        <f>IF(Tabla5[[#This Row],[ROI (MESES)]]="","",IF(Tabla5[[#This Row],[ROI (MESES)]]="N/A","0",IF(Tabla5[[#This Row],[ROI (MESES)]]="&lt;=3",100%*10%*22000,IF(Tabla5[[#This Row],[ROI (MESES)]]="&gt;3&lt;=6",75%*10%*22000,25%*10%*22000))))</f>
        <v>550</v>
      </c>
      <c r="P57" s="49">
        <f>IF(Tabla5[[#This Row],[FACILIDAD IMPLEM.]]="","",IF(Tabla5[[#This Row],[FACILIDAD IMPLEM.]]="A",100%*10%*22000,IF(AND(Tabla5[[#This Row],[FACILIDAD IMPLEM.]]="B"),50%*10%*22000,20%*10%*22000)))</f>
        <v>1100</v>
      </c>
      <c r="Q57" s="49">
        <f>Tabla5[[#This Row],[IMPACTO AMBIENTAL (Máx. 25%)]]*70%*22000+Tabla5[[#This Row],[IMPACTO ECONÓMICO (Máx. 25%)]]*70%*22000+Tabla5[[#This Row],[IMPACTO SST (Máx. 20%)]]*70%*22000+Tabla5[[#This Row],[IMPACTO PRODUCTIVIDAD (Máx. 25%)]]*70%*22000+Tabla5[[#This Row],[IMPACTO ORDEN Y ASEO (Máx. 5%)]]*70%*22000</f>
        <v>923.99999999999989</v>
      </c>
      <c r="R57" s="49">
        <f>IFERROR(Tabla5[[#This Row],[PUNTOS VALOR INVERSIÓN]]+Tabla5[[#This Row],[PUNTOS ROI ]]+Tabla5[[#This Row],[PUNTOS FACILIDAD IMPLEM. ]]+Tabla5[[#This Row],[PUNTOS IMPACTO ]],"")</f>
        <v>3014</v>
      </c>
      <c r="S57" s="54"/>
      <c r="T57" s="91" t="s">
        <v>65</v>
      </c>
      <c r="U57" s="91" t="s">
        <v>84</v>
      </c>
      <c r="V57" s="54" t="s">
        <v>198</v>
      </c>
      <c r="W57" s="54" t="s">
        <v>199</v>
      </c>
      <c r="X57" s="91"/>
      <c r="Y57" s="49" t="s">
        <v>55</v>
      </c>
    </row>
    <row r="58" spans="1:25" ht="27.6" x14ac:dyDescent="0.25">
      <c r="A58" s="47">
        <v>1128479796</v>
      </c>
      <c r="B58" s="53" t="s">
        <v>200</v>
      </c>
      <c r="C58" s="49">
        <v>7326</v>
      </c>
      <c r="D58" s="49" t="s">
        <v>54</v>
      </c>
      <c r="E58" s="49" t="s">
        <v>62</v>
      </c>
      <c r="F58" s="107">
        <v>50000000</v>
      </c>
      <c r="G58" s="49" t="s">
        <v>83</v>
      </c>
      <c r="H58" s="49" t="s">
        <v>78</v>
      </c>
      <c r="I58" s="50">
        <v>0</v>
      </c>
      <c r="J58" s="50">
        <v>0</v>
      </c>
      <c r="K58" s="50">
        <v>0.15</v>
      </c>
      <c r="L58" s="50">
        <v>0</v>
      </c>
      <c r="M58" s="50">
        <v>0</v>
      </c>
      <c r="N58" s="49">
        <f>IF(Tabla5[[#This Row],[VALOR INVERSIÓN]]="","",IF(Tabla5[[#This Row],[VALOR INVERSIÓN]]&lt;=10000000,100%*10%*22000,IF(AND(Tabla5[[#This Row],[VALOR INVERSIÓN]]&gt;10000000,Tabla5[[#This Row],[VALOR INVERSIÓN]]&lt;=20000000),60%*10%*22000,20%*10%*22000)))</f>
        <v>440.00000000000011</v>
      </c>
      <c r="O58" s="49">
        <f>IF(Tabla5[[#This Row],[ROI (MESES)]]="","",IF(Tabla5[[#This Row],[ROI (MESES)]]="N/A","0",IF(Tabla5[[#This Row],[ROI (MESES)]]="&lt;=3",100%*10%*22000,IF(Tabla5[[#This Row],[ROI (MESES)]]="&gt;3&lt;=6",75%*10%*22000,25%*10%*22000))))</f>
        <v>550</v>
      </c>
      <c r="P58" s="49">
        <f>IF(Tabla5[[#This Row],[FACILIDAD IMPLEM.]]="","",IF(Tabla5[[#This Row],[FACILIDAD IMPLEM.]]="A",100%*10%*22000,IF(AND(Tabla5[[#This Row],[FACILIDAD IMPLEM.]]="B"),50%*10%*22000,20%*10%*22000)))</f>
        <v>1100</v>
      </c>
      <c r="Q58" s="49">
        <f>Tabla5[[#This Row],[IMPACTO AMBIENTAL (Máx. 25%)]]*70%*22000+Tabla5[[#This Row],[IMPACTO ECONÓMICO (Máx. 25%)]]*70%*22000+Tabla5[[#This Row],[IMPACTO SST (Máx. 20%)]]*70%*22000+Tabla5[[#This Row],[IMPACTO PRODUCTIVIDAD (Máx. 25%)]]*70%*22000+Tabla5[[#This Row],[IMPACTO ORDEN Y ASEO (Máx. 5%)]]*70%*22000</f>
        <v>2310</v>
      </c>
      <c r="R58" s="49">
        <f>IFERROR(Tabla5[[#This Row],[PUNTOS VALOR INVERSIÓN]]+Tabla5[[#This Row],[PUNTOS ROI ]]+Tabla5[[#This Row],[PUNTOS FACILIDAD IMPLEM. ]]+Tabla5[[#This Row],[PUNTOS IMPACTO ]],"")</f>
        <v>4400</v>
      </c>
      <c r="S58" s="54"/>
      <c r="T58" s="91" t="s">
        <v>65</v>
      </c>
      <c r="U58" s="91" t="s">
        <v>84</v>
      </c>
      <c r="V58" s="54" t="s">
        <v>201</v>
      </c>
      <c r="W58" s="54" t="s">
        <v>202</v>
      </c>
      <c r="X58" s="91"/>
      <c r="Y58" s="49" t="s">
        <v>55</v>
      </c>
    </row>
    <row r="59" spans="1:25" ht="27.6" x14ac:dyDescent="0.25">
      <c r="A59" s="64">
        <v>1065659658</v>
      </c>
      <c r="B59" s="96" t="s">
        <v>157</v>
      </c>
      <c r="C59" s="49">
        <v>6399</v>
      </c>
      <c r="D59" s="49" t="s">
        <v>54</v>
      </c>
      <c r="E59" s="49" t="s">
        <v>62</v>
      </c>
      <c r="F59" s="107">
        <v>1000000</v>
      </c>
      <c r="G59" s="49" t="s">
        <v>100</v>
      </c>
      <c r="H59" s="49" t="s">
        <v>78</v>
      </c>
      <c r="I59" s="50">
        <v>0.14000000000000001</v>
      </c>
      <c r="J59" s="50">
        <v>0.1</v>
      </c>
      <c r="K59" s="50">
        <v>0</v>
      </c>
      <c r="L59" s="50">
        <v>0</v>
      </c>
      <c r="M59" s="50">
        <v>0</v>
      </c>
      <c r="N59" s="49">
        <f>IF(Tabla5[[#This Row],[VALOR INVERSIÓN]]="","",IF(Tabla5[[#This Row],[VALOR INVERSIÓN]]&lt;=10000000,100%*10%*22000,IF(AND(Tabla5[[#This Row],[VALOR INVERSIÓN]]&gt;10000000,Tabla5[[#This Row],[VALOR INVERSIÓN]]&lt;=20000000),60%*10%*22000,20%*10%*22000)))</f>
        <v>2200</v>
      </c>
      <c r="O59" s="49">
        <f>IF(Tabla5[[#This Row],[ROI (MESES)]]="","",IF(Tabla5[[#This Row],[ROI (MESES)]]="N/A","0",IF(Tabla5[[#This Row],[ROI (MESES)]]="&lt;=3",100%*10%*22000,IF(Tabla5[[#This Row],[ROI (MESES)]]="&gt;3&lt;=6",75%*10%*22000,25%*10%*22000))))</f>
        <v>2200</v>
      </c>
      <c r="P59" s="49">
        <f>IF(Tabla5[[#This Row],[FACILIDAD IMPLEM.]]="","",IF(Tabla5[[#This Row],[FACILIDAD IMPLEM.]]="A",100%*10%*22000,IF(AND(Tabla5[[#This Row],[FACILIDAD IMPLEM.]]="B"),50%*10%*22000,20%*10%*22000)))</f>
        <v>1100</v>
      </c>
      <c r="Q59" s="49">
        <f>Tabla5[[#This Row],[IMPACTO AMBIENTAL (Máx. 25%)]]*70%*22000+Tabla5[[#This Row],[IMPACTO ECONÓMICO (Máx. 25%)]]*70%*22000+Tabla5[[#This Row],[IMPACTO SST (Máx. 20%)]]*70%*22000+Tabla5[[#This Row],[IMPACTO PRODUCTIVIDAD (Máx. 25%)]]*70%*22000+Tabla5[[#This Row],[IMPACTO ORDEN Y ASEO (Máx. 5%)]]*70%*22000</f>
        <v>3696</v>
      </c>
      <c r="R59" s="49">
        <f>IFERROR(Tabla5[[#This Row],[PUNTOS VALOR INVERSIÓN]]+Tabla5[[#This Row],[PUNTOS ROI ]]+Tabla5[[#This Row],[PUNTOS FACILIDAD IMPLEM. ]]+Tabla5[[#This Row],[PUNTOS IMPACTO ]],"")</f>
        <v>9196</v>
      </c>
      <c r="S59" s="54" t="s">
        <v>168</v>
      </c>
      <c r="T59" s="91" t="s">
        <v>79</v>
      </c>
      <c r="U59" s="91" t="s">
        <v>89</v>
      </c>
      <c r="V59" s="54" t="s">
        <v>203</v>
      </c>
      <c r="W59" s="54" t="s">
        <v>204</v>
      </c>
      <c r="X59" s="91" t="s">
        <v>205</v>
      </c>
      <c r="Y59" s="49" t="s">
        <v>77</v>
      </c>
    </row>
    <row r="60" spans="1:25" ht="13.95" hidden="1" customHeight="1" x14ac:dyDescent="0.25">
      <c r="A60" s="47">
        <v>1001415647</v>
      </c>
      <c r="B60" s="53" t="s">
        <v>88</v>
      </c>
      <c r="C60" s="49">
        <v>7426</v>
      </c>
      <c r="D60" s="49" t="s">
        <v>54</v>
      </c>
      <c r="E60" s="49" t="s">
        <v>55</v>
      </c>
      <c r="F60" s="92"/>
      <c r="G60" s="49"/>
      <c r="H60" s="49"/>
      <c r="I60" s="50"/>
      <c r="J60" s="50"/>
      <c r="K60" s="50"/>
      <c r="L60" s="50"/>
      <c r="M60" s="50"/>
      <c r="N60" s="49" t="str">
        <f>IF(Tabla5[[#This Row],[VALOR INVERSIÓN]]="","",IF(Tabla5[[#This Row],[VALOR INVERSIÓN]]&lt;=10000000,100%*10%*22000,IF(AND(Tabla5[[#This Row],[VALOR INVERSIÓN]]&gt;10000000,Tabla5[[#This Row],[VALOR INVERSIÓN]]&lt;=20000000),60%*10%*22000,20%*10%*22000)))</f>
        <v/>
      </c>
      <c r="O60" s="49" t="str">
        <f>IF(Tabla5[[#This Row],[ROI (MESES)]]="","",IF(Tabla5[[#This Row],[ROI (MESES)]]="N/A","0",IF(Tabla5[[#This Row],[ROI (MESES)]]="&lt;=3",100%*10%*22000,IF(Tabla5[[#This Row],[ROI (MESES)]]="&gt;3&lt;=6",75%*10%*22000,25%*10%*22000))))</f>
        <v/>
      </c>
      <c r="P60" s="49" t="str">
        <f>IF(Tabla5[[#This Row],[FACILIDAD IMPLEM.]]="","",IF(Tabla5[[#This Row],[FACILIDAD IMPLEM.]]="A",100%*10%*22000,IF(AND(Tabla5[[#This Row],[FACILIDAD IMPLEM.]]="B"),50%*10%*22000,20%*10%*22000)))</f>
        <v/>
      </c>
      <c r="Q60" s="49">
        <f>Tabla5[[#This Row],[IMPACTO AMBIENTAL (Máx. 25%)]]*70%*22000+Tabla5[[#This Row],[IMPACTO ECONÓMICO (Máx. 25%)]]*70%*22000+Tabla5[[#This Row],[IMPACTO SST (Máx. 20%)]]*70%*22000+Tabla5[[#This Row],[IMPACTO PRODUCTIVIDAD (Máx. 25%)]]*70%*22000+Tabla5[[#This Row],[IMPACTO ORDEN Y ASEO (Máx. 5%)]]*70%*22000</f>
        <v>0</v>
      </c>
      <c r="R60" s="49" t="str">
        <f>IFERROR(Tabla5[[#This Row],[PUNTOS VALOR INVERSIÓN]]+Tabla5[[#This Row],[PUNTOS ROI ]]+Tabla5[[#This Row],[PUNTOS FACILIDAD IMPLEM. ]]+Tabla5[[#This Row],[PUNTOS IMPACTO ]],"")</f>
        <v/>
      </c>
      <c r="S60" s="54" t="s">
        <v>206</v>
      </c>
      <c r="T60" s="91"/>
      <c r="U60" s="91"/>
      <c r="V60" s="54"/>
      <c r="W60" s="54"/>
      <c r="X60" s="49"/>
      <c r="Y60" s="49"/>
    </row>
    <row r="61" spans="1:25" ht="13.95" hidden="1" customHeight="1" x14ac:dyDescent="0.25">
      <c r="A61" s="47">
        <v>1001415647</v>
      </c>
      <c r="B61" s="53" t="s">
        <v>88</v>
      </c>
      <c r="C61" s="49">
        <v>7427</v>
      </c>
      <c r="D61" s="49" t="s">
        <v>54</v>
      </c>
      <c r="E61" s="49" t="s">
        <v>55</v>
      </c>
      <c r="F61" s="92"/>
      <c r="G61" s="49"/>
      <c r="H61" s="49"/>
      <c r="I61" s="50"/>
      <c r="J61" s="50"/>
      <c r="K61" s="50"/>
      <c r="L61" s="50"/>
      <c r="M61" s="50"/>
      <c r="N61" s="49" t="str">
        <f>IF(Tabla5[[#This Row],[VALOR INVERSIÓN]]="","",IF(Tabla5[[#This Row],[VALOR INVERSIÓN]]&lt;=10000000,100%*10%*22000,IF(AND(Tabla5[[#This Row],[VALOR INVERSIÓN]]&gt;10000000,Tabla5[[#This Row],[VALOR INVERSIÓN]]&lt;=20000000),60%*10%*22000,20%*10%*22000)))</f>
        <v/>
      </c>
      <c r="O61" s="49" t="str">
        <f>IF(Tabla5[[#This Row],[ROI (MESES)]]="","",IF(Tabla5[[#This Row],[ROI (MESES)]]="N/A","0",IF(Tabla5[[#This Row],[ROI (MESES)]]="&lt;=3",100%*10%*22000,IF(Tabla5[[#This Row],[ROI (MESES)]]="&gt;3&lt;=6",75%*10%*22000,25%*10%*22000))))</f>
        <v/>
      </c>
      <c r="P61" s="49" t="str">
        <f>IF(Tabla5[[#This Row],[FACILIDAD IMPLEM.]]="","",IF(Tabla5[[#This Row],[FACILIDAD IMPLEM.]]="A",100%*10%*22000,IF(AND(Tabla5[[#This Row],[FACILIDAD IMPLEM.]]="B"),50%*10%*22000,20%*10%*22000)))</f>
        <v/>
      </c>
      <c r="Q61" s="49">
        <f>Tabla5[[#This Row],[IMPACTO AMBIENTAL (Máx. 25%)]]*70%*22000+Tabla5[[#This Row],[IMPACTO ECONÓMICO (Máx. 25%)]]*70%*22000+Tabla5[[#This Row],[IMPACTO SST (Máx. 20%)]]*70%*22000+Tabla5[[#This Row],[IMPACTO PRODUCTIVIDAD (Máx. 25%)]]*70%*22000+Tabla5[[#This Row],[IMPACTO ORDEN Y ASEO (Máx. 5%)]]*70%*22000</f>
        <v>0</v>
      </c>
      <c r="R61" s="49" t="str">
        <f>IFERROR(Tabla5[[#This Row],[PUNTOS VALOR INVERSIÓN]]+Tabla5[[#This Row],[PUNTOS ROI ]]+Tabla5[[#This Row],[PUNTOS FACILIDAD IMPLEM. ]]+Tabla5[[#This Row],[PUNTOS IMPACTO ]],"")</f>
        <v/>
      </c>
      <c r="S61" s="54"/>
      <c r="T61" s="91"/>
      <c r="U61" s="91"/>
      <c r="V61" s="54"/>
      <c r="W61" s="54"/>
      <c r="X61" s="49"/>
      <c r="Y61" s="49"/>
    </row>
    <row r="62" spans="1:25" x14ac:dyDescent="0.25">
      <c r="A62" s="47">
        <v>1015276535</v>
      </c>
      <c r="B62" s="53" t="s">
        <v>207</v>
      </c>
      <c r="C62" s="49">
        <v>7428</v>
      </c>
      <c r="D62" s="49" t="s">
        <v>128</v>
      </c>
      <c r="E62" s="49" t="s">
        <v>62</v>
      </c>
      <c r="F62" s="107">
        <v>6000000</v>
      </c>
      <c r="G62" s="49" t="s">
        <v>83</v>
      </c>
      <c r="H62" s="49" t="s">
        <v>73</v>
      </c>
      <c r="I62" s="50">
        <v>0</v>
      </c>
      <c r="J62" s="50">
        <v>0</v>
      </c>
      <c r="K62" s="50">
        <v>0</v>
      </c>
      <c r="L62" s="50">
        <v>0</v>
      </c>
      <c r="M62" s="50">
        <v>0</v>
      </c>
      <c r="N62" s="49">
        <f>IF(Tabla5[[#This Row],[VALOR INVERSIÓN]]="","",IF(Tabla5[[#This Row],[VALOR INVERSIÓN]]&lt;=10000000,100%*10%*22000,IF(AND(Tabla5[[#This Row],[VALOR INVERSIÓN]]&gt;10000000,Tabla5[[#This Row],[VALOR INVERSIÓN]]&lt;=20000000),60%*10%*22000,20%*10%*22000)))</f>
        <v>2200</v>
      </c>
      <c r="O62" s="49">
        <f>IF(Tabla5[[#This Row],[ROI (MESES)]]="","",IF(Tabla5[[#This Row],[ROI (MESES)]]="N/A","0",IF(Tabla5[[#This Row],[ROI (MESES)]]="&lt;=3",100%*10%*22000,IF(Tabla5[[#This Row],[ROI (MESES)]]="&gt;3&lt;=6",75%*10%*22000,25%*10%*22000))))</f>
        <v>550</v>
      </c>
      <c r="P62" s="49">
        <f>IF(Tabla5[[#This Row],[FACILIDAD IMPLEM.]]="","",IF(Tabla5[[#This Row],[FACILIDAD IMPLEM.]]="A",100%*10%*22000,IF(AND(Tabla5[[#This Row],[FACILIDAD IMPLEM.]]="B"),50%*10%*22000,20%*10%*22000)))</f>
        <v>2200</v>
      </c>
      <c r="Q62" s="49">
        <f>Tabla5[[#This Row],[IMPACTO AMBIENTAL (Máx. 25%)]]*70%*22000+Tabla5[[#This Row],[IMPACTO ECONÓMICO (Máx. 25%)]]*70%*22000+Tabla5[[#This Row],[IMPACTO SST (Máx. 20%)]]*70%*22000+Tabla5[[#This Row],[IMPACTO PRODUCTIVIDAD (Máx. 25%)]]*70%*22000+Tabla5[[#This Row],[IMPACTO ORDEN Y ASEO (Máx. 5%)]]*70%*22000</f>
        <v>0</v>
      </c>
      <c r="R62" s="49">
        <f>IFERROR(Tabla5[[#This Row],[PUNTOS VALOR INVERSIÓN]]+Tabla5[[#This Row],[PUNTOS ROI ]]+Tabla5[[#This Row],[PUNTOS FACILIDAD IMPLEM. ]]+Tabla5[[#This Row],[PUNTOS IMPACTO ]],"")</f>
        <v>4950</v>
      </c>
      <c r="S62" s="54"/>
      <c r="T62" s="91" t="s">
        <v>94</v>
      </c>
      <c r="U62" s="91" t="s">
        <v>84</v>
      </c>
      <c r="V62" s="54" t="s">
        <v>208</v>
      </c>
      <c r="W62" s="54"/>
      <c r="X62" s="91"/>
      <c r="Y62" s="49" t="s">
        <v>55</v>
      </c>
    </row>
    <row r="63" spans="1:25" ht="13.95" hidden="1" customHeight="1" x14ac:dyDescent="0.25">
      <c r="A63" s="47">
        <v>1015276535</v>
      </c>
      <c r="B63" s="53" t="s">
        <v>207</v>
      </c>
      <c r="C63" s="49">
        <v>7429</v>
      </c>
      <c r="D63" s="49" t="s">
        <v>128</v>
      </c>
      <c r="E63" s="49" t="s">
        <v>55</v>
      </c>
      <c r="F63" s="92"/>
      <c r="G63" s="49"/>
      <c r="H63" s="49"/>
      <c r="I63" s="50"/>
      <c r="J63" s="50"/>
      <c r="K63" s="50"/>
      <c r="L63" s="50"/>
      <c r="M63" s="50"/>
      <c r="N63" s="49" t="str">
        <f>IF(Tabla5[[#This Row],[VALOR INVERSIÓN]]="","",IF(Tabla5[[#This Row],[VALOR INVERSIÓN]]&lt;=10000000,100%*10%*22000,IF(AND(Tabla5[[#This Row],[VALOR INVERSIÓN]]&gt;10000000,Tabla5[[#This Row],[VALOR INVERSIÓN]]&lt;=20000000),60%*10%*22000,20%*10%*22000)))</f>
        <v/>
      </c>
      <c r="O63" s="49" t="str">
        <f>IF(Tabla5[[#This Row],[ROI (MESES)]]="","",IF(Tabla5[[#This Row],[ROI (MESES)]]="N/A","0",IF(Tabla5[[#This Row],[ROI (MESES)]]="&lt;=3",100%*10%*22000,IF(Tabla5[[#This Row],[ROI (MESES)]]="&gt;3&lt;=6",75%*10%*22000,25%*10%*22000))))</f>
        <v/>
      </c>
      <c r="P63" s="49" t="str">
        <f>IF(Tabla5[[#This Row],[FACILIDAD IMPLEM.]]="","",IF(Tabla5[[#This Row],[FACILIDAD IMPLEM.]]="A",100%*10%*22000,IF(AND(Tabla5[[#This Row],[FACILIDAD IMPLEM.]]="B"),50%*10%*22000,20%*10%*22000)))</f>
        <v/>
      </c>
      <c r="Q63" s="49">
        <f>Tabla5[[#This Row],[IMPACTO AMBIENTAL (Máx. 25%)]]*70%*22000+Tabla5[[#This Row],[IMPACTO ECONÓMICO (Máx. 25%)]]*70%*22000+Tabla5[[#This Row],[IMPACTO SST (Máx. 20%)]]*70%*22000+Tabla5[[#This Row],[IMPACTO PRODUCTIVIDAD (Máx. 25%)]]*70%*22000+Tabla5[[#This Row],[IMPACTO ORDEN Y ASEO (Máx. 5%)]]*70%*22000</f>
        <v>0</v>
      </c>
      <c r="R63" s="49" t="str">
        <f>IFERROR(Tabla5[[#This Row],[PUNTOS VALOR INVERSIÓN]]+Tabla5[[#This Row],[PUNTOS ROI ]]+Tabla5[[#This Row],[PUNTOS FACILIDAD IMPLEM. ]]+Tabla5[[#This Row],[PUNTOS IMPACTO ]],"")</f>
        <v/>
      </c>
      <c r="S63" s="54"/>
      <c r="T63" s="91"/>
      <c r="U63" s="91"/>
      <c r="V63" s="54"/>
      <c r="W63" s="54"/>
      <c r="X63" s="49"/>
      <c r="Y63" s="49"/>
    </row>
    <row r="64" spans="1:25" ht="13.95" hidden="1" customHeight="1" x14ac:dyDescent="0.25">
      <c r="A64" s="47">
        <v>1065659658</v>
      </c>
      <c r="B64" s="96" t="s">
        <v>157</v>
      </c>
      <c r="C64" s="49">
        <v>7430</v>
      </c>
      <c r="D64" s="49" t="s">
        <v>54</v>
      </c>
      <c r="E64" s="49" t="s">
        <v>55</v>
      </c>
      <c r="F64" s="92"/>
      <c r="G64" s="49"/>
      <c r="H64" s="49"/>
      <c r="I64" s="50"/>
      <c r="J64" s="50"/>
      <c r="K64" s="50"/>
      <c r="L64" s="50"/>
      <c r="M64" s="50"/>
      <c r="N64" s="49" t="str">
        <f>IF(Tabla5[[#This Row],[VALOR INVERSIÓN]]="","",IF(Tabla5[[#This Row],[VALOR INVERSIÓN]]&lt;=10000000,100%*10%*22000,IF(AND(Tabla5[[#This Row],[VALOR INVERSIÓN]]&gt;10000000,Tabla5[[#This Row],[VALOR INVERSIÓN]]&lt;=20000000),60%*10%*22000,20%*10%*22000)))</f>
        <v/>
      </c>
      <c r="O64" s="49" t="str">
        <f>IF(Tabla5[[#This Row],[ROI (MESES)]]="","",IF(Tabla5[[#This Row],[ROI (MESES)]]="N/A","0",IF(Tabla5[[#This Row],[ROI (MESES)]]="&lt;=3",100%*10%*22000,IF(Tabla5[[#This Row],[ROI (MESES)]]="&gt;3&lt;=6",75%*10%*22000,25%*10%*22000))))</f>
        <v/>
      </c>
      <c r="P64" s="49" t="str">
        <f>IF(Tabla5[[#This Row],[FACILIDAD IMPLEM.]]="","",IF(Tabla5[[#This Row],[FACILIDAD IMPLEM.]]="A",100%*10%*22000,IF(AND(Tabla5[[#This Row],[FACILIDAD IMPLEM.]]="B"),50%*10%*22000,20%*10%*22000)))</f>
        <v/>
      </c>
      <c r="Q64" s="49">
        <f>Tabla5[[#This Row],[IMPACTO AMBIENTAL (Máx. 25%)]]*70%*22000+Tabla5[[#This Row],[IMPACTO ECONÓMICO (Máx. 25%)]]*70%*22000+Tabla5[[#This Row],[IMPACTO SST (Máx. 20%)]]*70%*22000+Tabla5[[#This Row],[IMPACTO PRODUCTIVIDAD (Máx. 25%)]]*70%*22000+Tabla5[[#This Row],[IMPACTO ORDEN Y ASEO (Máx. 5%)]]*70%*22000</f>
        <v>0</v>
      </c>
      <c r="R64" s="49" t="str">
        <f>IFERROR(Tabla5[[#This Row],[PUNTOS VALOR INVERSIÓN]]+Tabla5[[#This Row],[PUNTOS ROI ]]+Tabla5[[#This Row],[PUNTOS FACILIDAD IMPLEM. ]]+Tabla5[[#This Row],[PUNTOS IMPACTO ]],"")</f>
        <v/>
      </c>
      <c r="S64" s="54"/>
      <c r="T64" s="91"/>
      <c r="U64" s="91"/>
      <c r="V64" s="54"/>
      <c r="W64" s="54"/>
      <c r="X64" s="49"/>
      <c r="Y64" s="49"/>
    </row>
    <row r="65" spans="1:25" ht="69" x14ac:dyDescent="0.25">
      <c r="A65" s="47">
        <v>71801338</v>
      </c>
      <c r="B65" s="53" t="s">
        <v>209</v>
      </c>
      <c r="C65" s="49">
        <v>7431</v>
      </c>
      <c r="D65" s="49" t="s">
        <v>54</v>
      </c>
      <c r="E65" s="49" t="s">
        <v>62</v>
      </c>
      <c r="F65" s="107">
        <v>100000000</v>
      </c>
      <c r="G65" s="49" t="s">
        <v>83</v>
      </c>
      <c r="H65" s="49" t="s">
        <v>78</v>
      </c>
      <c r="I65" s="50">
        <v>0</v>
      </c>
      <c r="J65" s="50">
        <v>0</v>
      </c>
      <c r="K65" s="50">
        <v>7.0000000000000007E-2</v>
      </c>
      <c r="L65" s="50">
        <v>0</v>
      </c>
      <c r="M65" s="50">
        <v>0.03</v>
      </c>
      <c r="N65" s="49">
        <f>IF(Tabla5[[#This Row],[VALOR INVERSIÓN]]="","",IF(Tabla5[[#This Row],[VALOR INVERSIÓN]]&lt;=10000000,100%*10%*22000,IF(AND(Tabla5[[#This Row],[VALOR INVERSIÓN]]&gt;10000000,Tabla5[[#This Row],[VALOR INVERSIÓN]]&lt;=20000000),60%*10%*22000,20%*10%*22000)))</f>
        <v>440.00000000000011</v>
      </c>
      <c r="O65" s="49">
        <f>IF(Tabla5[[#This Row],[ROI (MESES)]]="","",IF(Tabla5[[#This Row],[ROI (MESES)]]="N/A","0",IF(Tabla5[[#This Row],[ROI (MESES)]]="&lt;=3",100%*10%*22000,IF(Tabla5[[#This Row],[ROI (MESES)]]="&gt;3&lt;=6",75%*10%*22000,25%*10%*22000))))</f>
        <v>550</v>
      </c>
      <c r="P65" s="49">
        <f>IF(Tabla5[[#This Row],[FACILIDAD IMPLEM.]]="","",IF(Tabla5[[#This Row],[FACILIDAD IMPLEM.]]="A",100%*10%*22000,IF(AND(Tabla5[[#This Row],[FACILIDAD IMPLEM.]]="B"),50%*10%*22000,20%*10%*22000)))</f>
        <v>1100</v>
      </c>
      <c r="Q65" s="49">
        <f>Tabla5[[#This Row],[IMPACTO AMBIENTAL (Máx. 25%)]]*70%*22000+Tabla5[[#This Row],[IMPACTO ECONÓMICO (Máx. 25%)]]*70%*22000+Tabla5[[#This Row],[IMPACTO SST (Máx. 20%)]]*70%*22000+Tabla5[[#This Row],[IMPACTO PRODUCTIVIDAD (Máx. 25%)]]*70%*22000+Tabla5[[#This Row],[IMPACTO ORDEN Y ASEO (Máx. 5%)]]*70%*22000</f>
        <v>1540</v>
      </c>
      <c r="R65" s="49">
        <f>IFERROR(Tabla5[[#This Row],[PUNTOS VALOR INVERSIÓN]]+Tabla5[[#This Row],[PUNTOS ROI ]]+Tabla5[[#This Row],[PUNTOS FACILIDAD IMPLEM. ]]+Tabla5[[#This Row],[PUNTOS IMPACTO ]],"")</f>
        <v>3630</v>
      </c>
      <c r="S65" s="54"/>
      <c r="T65" s="91" t="s">
        <v>94</v>
      </c>
      <c r="U65" s="91" t="s">
        <v>84</v>
      </c>
      <c r="V65" s="54" t="s">
        <v>210</v>
      </c>
      <c r="W65" s="54" t="s">
        <v>211</v>
      </c>
      <c r="X65" s="91"/>
      <c r="Y65" s="49" t="s">
        <v>55</v>
      </c>
    </row>
    <row r="66" spans="1:25" ht="41.4" x14ac:dyDescent="0.25">
      <c r="A66" s="47">
        <v>1127940223</v>
      </c>
      <c r="B66" s="53" t="s">
        <v>212</v>
      </c>
      <c r="C66" s="49">
        <v>7451</v>
      </c>
      <c r="D66" s="49" t="s">
        <v>128</v>
      </c>
      <c r="E66" s="49" t="s">
        <v>62</v>
      </c>
      <c r="F66" s="107">
        <v>50000000</v>
      </c>
      <c r="G66" s="49" t="s">
        <v>83</v>
      </c>
      <c r="H66" s="49" t="s">
        <v>78</v>
      </c>
      <c r="I66" s="50">
        <v>0.12</v>
      </c>
      <c r="J66" s="50">
        <v>0.05</v>
      </c>
      <c r="K66" s="50">
        <v>0</v>
      </c>
      <c r="L66" s="50">
        <v>0</v>
      </c>
      <c r="M66" s="50">
        <v>0.02</v>
      </c>
      <c r="N66" s="49">
        <f>IF(Tabla5[[#This Row],[VALOR INVERSIÓN]]="","",IF(Tabla5[[#This Row],[VALOR INVERSIÓN]]&lt;=10000000,100%*10%*22000,IF(AND(Tabla5[[#This Row],[VALOR INVERSIÓN]]&gt;10000000,Tabla5[[#This Row],[VALOR INVERSIÓN]]&lt;=20000000),60%*10%*22000,20%*10%*22000)))</f>
        <v>440.00000000000011</v>
      </c>
      <c r="O66" s="49">
        <f>IF(Tabla5[[#This Row],[ROI (MESES)]]="","",IF(Tabla5[[#This Row],[ROI (MESES)]]="N/A","0",IF(Tabla5[[#This Row],[ROI (MESES)]]="&lt;=3",100%*10%*22000,IF(Tabla5[[#This Row],[ROI (MESES)]]="&gt;3&lt;=6",75%*10%*22000,25%*10%*22000))))</f>
        <v>550</v>
      </c>
      <c r="P66" s="49">
        <f>IF(Tabla5[[#This Row],[FACILIDAD IMPLEM.]]="","",IF(Tabla5[[#This Row],[FACILIDAD IMPLEM.]]="A",100%*10%*22000,IF(AND(Tabla5[[#This Row],[FACILIDAD IMPLEM.]]="B"),50%*10%*22000,20%*10%*22000)))</f>
        <v>1100</v>
      </c>
      <c r="Q66" s="49">
        <f>Tabla5[[#This Row],[IMPACTO AMBIENTAL (Máx. 25%)]]*70%*22000+Tabla5[[#This Row],[IMPACTO ECONÓMICO (Máx. 25%)]]*70%*22000+Tabla5[[#This Row],[IMPACTO SST (Máx. 20%)]]*70%*22000+Tabla5[[#This Row],[IMPACTO PRODUCTIVIDAD (Máx. 25%)]]*70%*22000+Tabla5[[#This Row],[IMPACTO ORDEN Y ASEO (Máx. 5%)]]*70%*22000</f>
        <v>2925.9999999999995</v>
      </c>
      <c r="R66" s="49">
        <f>IFERROR(Tabla5[[#This Row],[PUNTOS VALOR INVERSIÓN]]+Tabla5[[#This Row],[PUNTOS ROI ]]+Tabla5[[#This Row],[PUNTOS FACILIDAD IMPLEM. ]]+Tabla5[[#This Row],[PUNTOS IMPACTO ]],"")</f>
        <v>5016</v>
      </c>
      <c r="S66" s="54"/>
      <c r="T66" s="91" t="s">
        <v>65</v>
      </c>
      <c r="U66" s="91" t="s">
        <v>84</v>
      </c>
      <c r="V66" s="54" t="s">
        <v>213</v>
      </c>
      <c r="W66" s="54" t="s">
        <v>214</v>
      </c>
      <c r="X66" s="91"/>
      <c r="Y66" s="49" t="s">
        <v>55</v>
      </c>
    </row>
    <row r="67" spans="1:25" ht="55.2" x14ac:dyDescent="0.25">
      <c r="A67" s="47">
        <v>4116903</v>
      </c>
      <c r="B67" s="53" t="s">
        <v>125</v>
      </c>
      <c r="C67" s="49">
        <v>7452</v>
      </c>
      <c r="D67" s="49" t="s">
        <v>54</v>
      </c>
      <c r="E67" s="49" t="s">
        <v>62</v>
      </c>
      <c r="F67" s="107">
        <v>250000</v>
      </c>
      <c r="G67" s="49" t="s">
        <v>120</v>
      </c>
      <c r="H67" s="49" t="s">
        <v>73</v>
      </c>
      <c r="I67" s="50">
        <v>0</v>
      </c>
      <c r="J67" s="50">
        <v>0</v>
      </c>
      <c r="K67" s="50">
        <v>0</v>
      </c>
      <c r="L67" s="50">
        <v>0</v>
      </c>
      <c r="M67" s="50">
        <v>0</v>
      </c>
      <c r="N67" s="49">
        <f>IF(Tabla5[[#This Row],[VALOR INVERSIÓN]]="","",IF(Tabla5[[#This Row],[VALOR INVERSIÓN]]&lt;=10000000,100%*10%*22000,IF(AND(Tabla5[[#This Row],[VALOR INVERSIÓN]]&gt;10000000,Tabla5[[#This Row],[VALOR INVERSIÓN]]&lt;=20000000),60%*10%*22000,20%*10%*22000)))</f>
        <v>2200</v>
      </c>
      <c r="O67" s="49">
        <f>IF(Tabla5[[#This Row],[ROI (MESES)]]="","",IF(Tabla5[[#This Row],[ROI (MESES)]]="N/A","0",IF(Tabla5[[#This Row],[ROI (MESES)]]="&lt;=3",100%*10%*22000,IF(Tabla5[[#This Row],[ROI (MESES)]]="&gt;3&lt;=6",75%*10%*22000,25%*10%*22000))))</f>
        <v>1650.0000000000002</v>
      </c>
      <c r="P67" s="49">
        <f>IF(Tabla5[[#This Row],[FACILIDAD IMPLEM.]]="","",IF(Tabla5[[#This Row],[FACILIDAD IMPLEM.]]="A",100%*10%*22000,IF(AND(Tabla5[[#This Row],[FACILIDAD IMPLEM.]]="B"),50%*10%*22000,20%*10%*22000)))</f>
        <v>2200</v>
      </c>
      <c r="Q67" s="49">
        <f>Tabla5[[#This Row],[IMPACTO AMBIENTAL (Máx. 25%)]]*70%*22000+Tabla5[[#This Row],[IMPACTO ECONÓMICO (Máx. 25%)]]*70%*22000+Tabla5[[#This Row],[IMPACTO SST (Máx. 20%)]]*70%*22000+Tabla5[[#This Row],[IMPACTO PRODUCTIVIDAD (Máx. 25%)]]*70%*22000+Tabla5[[#This Row],[IMPACTO ORDEN Y ASEO (Máx. 5%)]]*70%*22000</f>
        <v>0</v>
      </c>
      <c r="R67" s="49">
        <f>IFERROR(Tabla5[[#This Row],[PUNTOS VALOR INVERSIÓN]]+Tabla5[[#This Row],[PUNTOS ROI ]]+Tabla5[[#This Row],[PUNTOS FACILIDAD IMPLEM. ]]+Tabla5[[#This Row],[PUNTOS IMPACTO ]],"")</f>
        <v>6050</v>
      </c>
      <c r="S67" s="54"/>
      <c r="T67" s="91" t="s">
        <v>79</v>
      </c>
      <c r="U67" s="91" t="s">
        <v>66</v>
      </c>
      <c r="V67" s="54" t="s">
        <v>215</v>
      </c>
      <c r="W67" s="54" t="s">
        <v>216</v>
      </c>
      <c r="X67" s="91" t="s">
        <v>124</v>
      </c>
      <c r="Y67" s="49" t="s">
        <v>132</v>
      </c>
    </row>
    <row r="68" spans="1:25" ht="13.95" hidden="1" customHeight="1" x14ac:dyDescent="0.25">
      <c r="A68" s="47">
        <v>70878043</v>
      </c>
      <c r="B68" s="53" t="s">
        <v>217</v>
      </c>
      <c r="C68" s="49">
        <v>7453</v>
      </c>
      <c r="D68" s="49" t="s">
        <v>218</v>
      </c>
      <c r="E68" s="49" t="s">
        <v>55</v>
      </c>
      <c r="F68" s="92"/>
      <c r="G68" s="49"/>
      <c r="H68" s="49"/>
      <c r="I68" s="50"/>
      <c r="J68" s="50"/>
      <c r="K68" s="50"/>
      <c r="L68" s="50"/>
      <c r="M68" s="50"/>
      <c r="N68" s="49" t="str">
        <f>IF(Tabla5[[#This Row],[VALOR INVERSIÓN]]="","",IF(Tabla5[[#This Row],[VALOR INVERSIÓN]]&lt;=10000000,100%*10%*22000,IF(AND(Tabla5[[#This Row],[VALOR INVERSIÓN]]&gt;10000000,Tabla5[[#This Row],[VALOR INVERSIÓN]]&lt;=20000000),60%*10%*22000,20%*10%*22000)))</f>
        <v/>
      </c>
      <c r="O68" s="49" t="str">
        <f>IF(Tabla5[[#This Row],[ROI (MESES)]]="","",IF(Tabla5[[#This Row],[ROI (MESES)]]="N/A","0",IF(Tabla5[[#This Row],[ROI (MESES)]]="&lt;=3",100%*10%*22000,IF(Tabla5[[#This Row],[ROI (MESES)]]="&gt;3&lt;=6",75%*10%*22000,25%*10%*22000))))</f>
        <v/>
      </c>
      <c r="P68" s="49" t="str">
        <f>IF(Tabla5[[#This Row],[FACILIDAD IMPLEM.]]="","",IF(Tabla5[[#This Row],[FACILIDAD IMPLEM.]]="A",100%*10%*22000,IF(AND(Tabla5[[#This Row],[FACILIDAD IMPLEM.]]="B"),50%*10%*22000,20%*10%*22000)))</f>
        <v/>
      </c>
      <c r="Q68" s="49">
        <f>Tabla5[[#This Row],[IMPACTO AMBIENTAL (Máx. 25%)]]*70%*22000+Tabla5[[#This Row],[IMPACTO ECONÓMICO (Máx. 25%)]]*70%*22000+Tabla5[[#This Row],[IMPACTO SST (Máx. 20%)]]*70%*22000+Tabla5[[#This Row],[IMPACTO PRODUCTIVIDAD (Máx. 25%)]]*70%*22000+Tabla5[[#This Row],[IMPACTO ORDEN Y ASEO (Máx. 5%)]]*70%*22000</f>
        <v>0</v>
      </c>
      <c r="R68" s="49" t="str">
        <f>IFERROR(Tabla5[[#This Row],[PUNTOS VALOR INVERSIÓN]]+Tabla5[[#This Row],[PUNTOS ROI ]]+Tabla5[[#This Row],[PUNTOS FACILIDAD IMPLEM. ]]+Tabla5[[#This Row],[PUNTOS IMPACTO ]],"")</f>
        <v/>
      </c>
      <c r="S68" s="54" t="s">
        <v>219</v>
      </c>
      <c r="T68" s="91"/>
      <c r="U68" s="91"/>
      <c r="V68" s="54"/>
      <c r="W68" s="54"/>
      <c r="X68" s="49"/>
      <c r="Y68" s="49"/>
    </row>
    <row r="69" spans="1:25" ht="13.95" hidden="1" customHeight="1" x14ac:dyDescent="0.25">
      <c r="A69" s="47">
        <v>1035912149</v>
      </c>
      <c r="B69" s="53" t="s">
        <v>220</v>
      </c>
      <c r="C69" s="49">
        <v>7454</v>
      </c>
      <c r="D69" s="49" t="s">
        <v>218</v>
      </c>
      <c r="E69" s="49" t="s">
        <v>55</v>
      </c>
      <c r="F69" s="92"/>
      <c r="G69" s="49"/>
      <c r="H69" s="49"/>
      <c r="I69" s="50"/>
      <c r="J69" s="50"/>
      <c r="K69" s="50"/>
      <c r="L69" s="50"/>
      <c r="M69" s="50"/>
      <c r="N69" s="49" t="str">
        <f>IF(Tabla5[[#This Row],[VALOR INVERSIÓN]]="","",IF(Tabla5[[#This Row],[VALOR INVERSIÓN]]&lt;=10000000,100%*10%*22000,IF(AND(Tabla5[[#This Row],[VALOR INVERSIÓN]]&gt;10000000,Tabla5[[#This Row],[VALOR INVERSIÓN]]&lt;=20000000),60%*10%*22000,20%*10%*22000)))</f>
        <v/>
      </c>
      <c r="O69" s="49" t="str">
        <f>IF(Tabla5[[#This Row],[ROI (MESES)]]="","",IF(Tabla5[[#This Row],[ROI (MESES)]]="N/A","0",IF(Tabla5[[#This Row],[ROI (MESES)]]="&lt;=3",100%*10%*22000,IF(Tabla5[[#This Row],[ROI (MESES)]]="&gt;3&lt;=6",75%*10%*22000,25%*10%*22000))))</f>
        <v/>
      </c>
      <c r="P69" s="49" t="str">
        <f>IF(Tabla5[[#This Row],[FACILIDAD IMPLEM.]]="","",IF(Tabla5[[#This Row],[FACILIDAD IMPLEM.]]="A",100%*10%*22000,IF(AND(Tabla5[[#This Row],[FACILIDAD IMPLEM.]]="B"),50%*10%*22000,20%*10%*22000)))</f>
        <v/>
      </c>
      <c r="Q69" s="49">
        <f>Tabla5[[#This Row],[IMPACTO AMBIENTAL (Máx. 25%)]]*70%*22000+Tabla5[[#This Row],[IMPACTO ECONÓMICO (Máx. 25%)]]*70%*22000+Tabla5[[#This Row],[IMPACTO SST (Máx. 20%)]]*70%*22000+Tabla5[[#This Row],[IMPACTO PRODUCTIVIDAD (Máx. 25%)]]*70%*22000+Tabla5[[#This Row],[IMPACTO ORDEN Y ASEO (Máx. 5%)]]*70%*22000</f>
        <v>0</v>
      </c>
      <c r="R69" s="49" t="str">
        <f>IFERROR(Tabla5[[#This Row],[PUNTOS VALOR INVERSIÓN]]+Tabla5[[#This Row],[PUNTOS ROI ]]+Tabla5[[#This Row],[PUNTOS FACILIDAD IMPLEM. ]]+Tabla5[[#This Row],[PUNTOS IMPACTO ]],"")</f>
        <v/>
      </c>
      <c r="S69" s="54"/>
      <c r="T69" s="91"/>
      <c r="U69" s="91"/>
      <c r="V69" s="54"/>
      <c r="W69" s="54"/>
      <c r="X69" s="49"/>
      <c r="Y69" s="49"/>
    </row>
    <row r="70" spans="1:25" ht="13.95" hidden="1" customHeight="1" x14ac:dyDescent="0.25">
      <c r="A70" s="47">
        <v>1035912149</v>
      </c>
      <c r="B70" s="53" t="s">
        <v>220</v>
      </c>
      <c r="C70" s="49">
        <v>7455</v>
      </c>
      <c r="D70" s="49" t="s">
        <v>218</v>
      </c>
      <c r="E70" s="49" t="s">
        <v>55</v>
      </c>
      <c r="F70" s="92"/>
      <c r="G70" s="49"/>
      <c r="H70" s="49"/>
      <c r="I70" s="50"/>
      <c r="J70" s="50"/>
      <c r="K70" s="50"/>
      <c r="L70" s="50"/>
      <c r="M70" s="50"/>
      <c r="N70" s="49" t="str">
        <f>IF(Tabla5[[#This Row],[VALOR INVERSIÓN]]="","",IF(Tabla5[[#This Row],[VALOR INVERSIÓN]]&lt;=10000000,100%*10%*22000,IF(AND(Tabla5[[#This Row],[VALOR INVERSIÓN]]&gt;10000000,Tabla5[[#This Row],[VALOR INVERSIÓN]]&lt;=20000000),60%*10%*22000,20%*10%*22000)))</f>
        <v/>
      </c>
      <c r="O70" s="49" t="str">
        <f>IF(Tabla5[[#This Row],[ROI (MESES)]]="","",IF(Tabla5[[#This Row],[ROI (MESES)]]="N/A","0",IF(Tabla5[[#This Row],[ROI (MESES)]]="&lt;=3",100%*10%*22000,IF(Tabla5[[#This Row],[ROI (MESES)]]="&gt;3&lt;=6",75%*10%*22000,25%*10%*22000))))</f>
        <v/>
      </c>
      <c r="P70" s="49" t="str">
        <f>IF(Tabla5[[#This Row],[FACILIDAD IMPLEM.]]="","",IF(Tabla5[[#This Row],[FACILIDAD IMPLEM.]]="A",100%*10%*22000,IF(AND(Tabla5[[#This Row],[FACILIDAD IMPLEM.]]="B"),50%*10%*22000,20%*10%*22000)))</f>
        <v/>
      </c>
      <c r="Q70" s="49">
        <f>Tabla5[[#This Row],[IMPACTO AMBIENTAL (Máx. 25%)]]*70%*22000+Tabla5[[#This Row],[IMPACTO ECONÓMICO (Máx. 25%)]]*70%*22000+Tabla5[[#This Row],[IMPACTO SST (Máx. 20%)]]*70%*22000+Tabla5[[#This Row],[IMPACTO PRODUCTIVIDAD (Máx. 25%)]]*70%*22000+Tabla5[[#This Row],[IMPACTO ORDEN Y ASEO (Máx. 5%)]]*70%*22000</f>
        <v>0</v>
      </c>
      <c r="R70" s="49" t="str">
        <f>IFERROR(Tabla5[[#This Row],[PUNTOS VALOR INVERSIÓN]]+Tabla5[[#This Row],[PUNTOS ROI ]]+Tabla5[[#This Row],[PUNTOS FACILIDAD IMPLEM. ]]+Tabla5[[#This Row],[PUNTOS IMPACTO ]],"")</f>
        <v/>
      </c>
      <c r="S70" s="54"/>
      <c r="T70" s="91"/>
      <c r="U70" s="91"/>
      <c r="V70" s="54"/>
      <c r="W70" s="54"/>
      <c r="X70" s="49"/>
      <c r="Y70" s="49"/>
    </row>
    <row r="71" spans="1:25" ht="13.95" hidden="1" customHeight="1" x14ac:dyDescent="0.25">
      <c r="A71" s="47">
        <v>71365644</v>
      </c>
      <c r="B71" s="53" t="s">
        <v>221</v>
      </c>
      <c r="C71" s="49">
        <v>7456</v>
      </c>
      <c r="D71" s="49" t="s">
        <v>218</v>
      </c>
      <c r="E71" s="49" t="s">
        <v>55</v>
      </c>
      <c r="F71" s="92"/>
      <c r="G71" s="49"/>
      <c r="H71" s="49"/>
      <c r="I71" s="50"/>
      <c r="J71" s="50"/>
      <c r="K71" s="50"/>
      <c r="L71" s="50"/>
      <c r="M71" s="50"/>
      <c r="N71" s="49" t="str">
        <f>IF(Tabla5[[#This Row],[VALOR INVERSIÓN]]="","",IF(Tabla5[[#This Row],[VALOR INVERSIÓN]]&lt;=10000000,100%*10%*22000,IF(AND(Tabla5[[#This Row],[VALOR INVERSIÓN]]&gt;10000000,Tabla5[[#This Row],[VALOR INVERSIÓN]]&lt;=20000000),60%*10%*22000,20%*10%*22000)))</f>
        <v/>
      </c>
      <c r="O71" s="49" t="str">
        <f>IF(Tabla5[[#This Row],[ROI (MESES)]]="","",IF(Tabla5[[#This Row],[ROI (MESES)]]="N/A","0",IF(Tabla5[[#This Row],[ROI (MESES)]]="&lt;=3",100%*10%*22000,IF(Tabla5[[#This Row],[ROI (MESES)]]="&gt;3&lt;=6",75%*10%*22000,25%*10%*22000))))</f>
        <v/>
      </c>
      <c r="P71" s="49" t="str">
        <f>IF(Tabla5[[#This Row],[FACILIDAD IMPLEM.]]="","",IF(Tabla5[[#This Row],[FACILIDAD IMPLEM.]]="A",100%*10%*22000,IF(AND(Tabla5[[#This Row],[FACILIDAD IMPLEM.]]="B"),50%*10%*22000,20%*10%*22000)))</f>
        <v/>
      </c>
      <c r="Q71" s="49">
        <f>Tabla5[[#This Row],[IMPACTO AMBIENTAL (Máx. 25%)]]*70%*22000+Tabla5[[#This Row],[IMPACTO ECONÓMICO (Máx. 25%)]]*70%*22000+Tabla5[[#This Row],[IMPACTO SST (Máx. 20%)]]*70%*22000+Tabla5[[#This Row],[IMPACTO PRODUCTIVIDAD (Máx. 25%)]]*70%*22000+Tabla5[[#This Row],[IMPACTO ORDEN Y ASEO (Máx. 5%)]]*70%*22000</f>
        <v>0</v>
      </c>
      <c r="R71" s="49" t="str">
        <f>IFERROR(Tabla5[[#This Row],[PUNTOS VALOR INVERSIÓN]]+Tabla5[[#This Row],[PUNTOS ROI ]]+Tabla5[[#This Row],[PUNTOS FACILIDAD IMPLEM. ]]+Tabla5[[#This Row],[PUNTOS IMPACTO ]],"")</f>
        <v/>
      </c>
      <c r="S71" s="54"/>
      <c r="T71" s="91"/>
      <c r="U71" s="91"/>
      <c r="V71" s="54"/>
      <c r="W71" s="54"/>
      <c r="X71" s="49"/>
      <c r="Y71" s="49"/>
    </row>
    <row r="72" spans="1:25" ht="13.95" hidden="1" customHeight="1" x14ac:dyDescent="0.25">
      <c r="A72" s="47">
        <v>71365644</v>
      </c>
      <c r="B72" s="53" t="s">
        <v>221</v>
      </c>
      <c r="C72" s="49">
        <v>7457</v>
      </c>
      <c r="D72" s="49" t="s">
        <v>218</v>
      </c>
      <c r="E72" s="49" t="s">
        <v>55</v>
      </c>
      <c r="F72" s="92"/>
      <c r="G72" s="49"/>
      <c r="H72" s="49"/>
      <c r="I72" s="50"/>
      <c r="J72" s="50"/>
      <c r="K72" s="50"/>
      <c r="L72" s="50"/>
      <c r="M72" s="50"/>
      <c r="N72" s="49" t="str">
        <f>IF(Tabla5[[#This Row],[VALOR INVERSIÓN]]="","",IF(Tabla5[[#This Row],[VALOR INVERSIÓN]]&lt;=10000000,100%*10%*22000,IF(AND(Tabla5[[#This Row],[VALOR INVERSIÓN]]&gt;10000000,Tabla5[[#This Row],[VALOR INVERSIÓN]]&lt;=20000000),60%*10%*22000,20%*10%*22000)))</f>
        <v/>
      </c>
      <c r="O72" s="49" t="str">
        <f>IF(Tabla5[[#This Row],[ROI (MESES)]]="","",IF(Tabla5[[#This Row],[ROI (MESES)]]="N/A","0",IF(Tabla5[[#This Row],[ROI (MESES)]]="&lt;=3",100%*10%*22000,IF(Tabla5[[#This Row],[ROI (MESES)]]="&gt;3&lt;=6",75%*10%*22000,25%*10%*22000))))</f>
        <v/>
      </c>
      <c r="P72" s="49" t="str">
        <f>IF(Tabla5[[#This Row],[FACILIDAD IMPLEM.]]="","",IF(Tabla5[[#This Row],[FACILIDAD IMPLEM.]]="A",100%*10%*22000,IF(AND(Tabla5[[#This Row],[FACILIDAD IMPLEM.]]="B"),50%*10%*22000,20%*10%*22000)))</f>
        <v/>
      </c>
      <c r="Q72" s="49">
        <f>Tabla5[[#This Row],[IMPACTO AMBIENTAL (Máx. 25%)]]*70%*22000+Tabla5[[#This Row],[IMPACTO ECONÓMICO (Máx. 25%)]]*70%*22000+Tabla5[[#This Row],[IMPACTO SST (Máx. 20%)]]*70%*22000+Tabla5[[#This Row],[IMPACTO PRODUCTIVIDAD (Máx. 25%)]]*70%*22000+Tabla5[[#This Row],[IMPACTO ORDEN Y ASEO (Máx. 5%)]]*70%*22000</f>
        <v>0</v>
      </c>
      <c r="R72" s="49" t="str">
        <f>IFERROR(Tabla5[[#This Row],[PUNTOS VALOR INVERSIÓN]]+Tabla5[[#This Row],[PUNTOS ROI ]]+Tabla5[[#This Row],[PUNTOS FACILIDAD IMPLEM. ]]+Tabla5[[#This Row],[PUNTOS IMPACTO ]],"")</f>
        <v/>
      </c>
      <c r="S72" s="54"/>
      <c r="T72" s="91"/>
      <c r="U72" s="91"/>
      <c r="V72" s="54"/>
      <c r="W72" s="54"/>
      <c r="X72" s="49"/>
      <c r="Y72" s="49"/>
    </row>
    <row r="73" spans="1:25" ht="13.95" hidden="1" customHeight="1" x14ac:dyDescent="0.25">
      <c r="A73" s="47">
        <v>71365644</v>
      </c>
      <c r="B73" s="53" t="s">
        <v>221</v>
      </c>
      <c r="C73" s="49">
        <v>7458</v>
      </c>
      <c r="D73" s="49" t="s">
        <v>218</v>
      </c>
      <c r="E73" s="49" t="s">
        <v>55</v>
      </c>
      <c r="F73" s="92"/>
      <c r="G73" s="49"/>
      <c r="H73" s="49"/>
      <c r="I73" s="50"/>
      <c r="J73" s="50"/>
      <c r="K73" s="50"/>
      <c r="L73" s="50"/>
      <c r="M73" s="50"/>
      <c r="N73" s="49" t="str">
        <f>IF(Tabla5[[#This Row],[VALOR INVERSIÓN]]="","",IF(Tabla5[[#This Row],[VALOR INVERSIÓN]]&lt;=10000000,100%*10%*22000,IF(AND(Tabla5[[#This Row],[VALOR INVERSIÓN]]&gt;10000000,Tabla5[[#This Row],[VALOR INVERSIÓN]]&lt;=20000000),60%*10%*22000,20%*10%*22000)))</f>
        <v/>
      </c>
      <c r="O73" s="49" t="str">
        <f>IF(Tabla5[[#This Row],[ROI (MESES)]]="","",IF(Tabla5[[#This Row],[ROI (MESES)]]="N/A","0",IF(Tabla5[[#This Row],[ROI (MESES)]]="&lt;=3",100%*10%*22000,IF(Tabla5[[#This Row],[ROI (MESES)]]="&gt;3&lt;=6",75%*10%*22000,25%*10%*22000))))</f>
        <v/>
      </c>
      <c r="P73" s="49" t="str">
        <f>IF(Tabla5[[#This Row],[FACILIDAD IMPLEM.]]="","",IF(Tabla5[[#This Row],[FACILIDAD IMPLEM.]]="A",100%*10%*22000,IF(AND(Tabla5[[#This Row],[FACILIDAD IMPLEM.]]="B"),50%*10%*22000,20%*10%*22000)))</f>
        <v/>
      </c>
      <c r="Q73" s="49">
        <f>Tabla5[[#This Row],[IMPACTO AMBIENTAL (Máx. 25%)]]*70%*22000+Tabla5[[#This Row],[IMPACTO ECONÓMICO (Máx. 25%)]]*70%*22000+Tabla5[[#This Row],[IMPACTO SST (Máx. 20%)]]*70%*22000+Tabla5[[#This Row],[IMPACTO PRODUCTIVIDAD (Máx. 25%)]]*70%*22000+Tabla5[[#This Row],[IMPACTO ORDEN Y ASEO (Máx. 5%)]]*70%*22000</f>
        <v>0</v>
      </c>
      <c r="R73" s="49" t="str">
        <f>IFERROR(Tabla5[[#This Row],[PUNTOS VALOR INVERSIÓN]]+Tabla5[[#This Row],[PUNTOS ROI ]]+Tabla5[[#This Row],[PUNTOS FACILIDAD IMPLEM. ]]+Tabla5[[#This Row],[PUNTOS IMPACTO ]],"")</f>
        <v/>
      </c>
      <c r="S73" s="54"/>
      <c r="T73" s="91"/>
      <c r="U73" s="91"/>
      <c r="V73" s="54"/>
      <c r="W73" s="54"/>
      <c r="X73" s="49"/>
      <c r="Y73" s="49"/>
    </row>
    <row r="74" spans="1:25" ht="13.95" hidden="1" customHeight="1" x14ac:dyDescent="0.25">
      <c r="A74" s="47">
        <v>1193138307</v>
      </c>
      <c r="B74" s="53" t="s">
        <v>222</v>
      </c>
      <c r="C74" s="49">
        <v>7459</v>
      </c>
      <c r="D74" s="49" t="s">
        <v>218</v>
      </c>
      <c r="E74" s="49" t="s">
        <v>55</v>
      </c>
      <c r="F74" s="92"/>
      <c r="G74" s="49"/>
      <c r="H74" s="49"/>
      <c r="I74" s="50"/>
      <c r="J74" s="50"/>
      <c r="K74" s="50"/>
      <c r="L74" s="50"/>
      <c r="M74" s="50"/>
      <c r="N74" s="49" t="str">
        <f>IF(Tabla5[[#This Row],[VALOR INVERSIÓN]]="","",IF(Tabla5[[#This Row],[VALOR INVERSIÓN]]&lt;=10000000,100%*10%*22000,IF(AND(Tabla5[[#This Row],[VALOR INVERSIÓN]]&gt;10000000,Tabla5[[#This Row],[VALOR INVERSIÓN]]&lt;=20000000),60%*10%*22000,20%*10%*22000)))</f>
        <v/>
      </c>
      <c r="O74" s="49" t="str">
        <f>IF(Tabla5[[#This Row],[ROI (MESES)]]="","",IF(Tabla5[[#This Row],[ROI (MESES)]]="N/A","0",IF(Tabla5[[#This Row],[ROI (MESES)]]="&lt;=3",100%*10%*22000,IF(Tabla5[[#This Row],[ROI (MESES)]]="&gt;3&lt;=6",75%*10%*22000,25%*10%*22000))))</f>
        <v/>
      </c>
      <c r="P74" s="49" t="str">
        <f>IF(Tabla5[[#This Row],[FACILIDAD IMPLEM.]]="","",IF(Tabla5[[#This Row],[FACILIDAD IMPLEM.]]="A",100%*10%*22000,IF(AND(Tabla5[[#This Row],[FACILIDAD IMPLEM.]]="B"),50%*10%*22000,20%*10%*22000)))</f>
        <v/>
      </c>
      <c r="Q74" s="49">
        <f>Tabla5[[#This Row],[IMPACTO AMBIENTAL (Máx. 25%)]]*70%*22000+Tabla5[[#This Row],[IMPACTO ECONÓMICO (Máx. 25%)]]*70%*22000+Tabla5[[#This Row],[IMPACTO SST (Máx. 20%)]]*70%*22000+Tabla5[[#This Row],[IMPACTO PRODUCTIVIDAD (Máx. 25%)]]*70%*22000+Tabla5[[#This Row],[IMPACTO ORDEN Y ASEO (Máx. 5%)]]*70%*22000</f>
        <v>0</v>
      </c>
      <c r="R74" s="49" t="str">
        <f>IFERROR(Tabla5[[#This Row],[PUNTOS VALOR INVERSIÓN]]+Tabla5[[#This Row],[PUNTOS ROI ]]+Tabla5[[#This Row],[PUNTOS FACILIDAD IMPLEM. ]]+Tabla5[[#This Row],[PUNTOS IMPACTO ]],"")</f>
        <v/>
      </c>
      <c r="S74" s="54"/>
      <c r="T74" s="91"/>
      <c r="U74" s="91"/>
      <c r="V74" s="54"/>
      <c r="W74" s="54"/>
      <c r="X74" s="49"/>
      <c r="Y74" s="49"/>
    </row>
    <row r="75" spans="1:25" ht="13.95" hidden="1" customHeight="1" x14ac:dyDescent="0.25">
      <c r="A75" s="47">
        <v>1035915507</v>
      </c>
      <c r="B75" s="53" t="s">
        <v>223</v>
      </c>
      <c r="C75" s="49">
        <v>7460</v>
      </c>
      <c r="D75" s="49" t="s">
        <v>218</v>
      </c>
      <c r="E75" s="49" t="s">
        <v>55</v>
      </c>
      <c r="F75" s="92"/>
      <c r="G75" s="49"/>
      <c r="H75" s="49"/>
      <c r="I75" s="50"/>
      <c r="J75" s="50"/>
      <c r="K75" s="50"/>
      <c r="L75" s="50"/>
      <c r="M75" s="50"/>
      <c r="N75" s="49" t="str">
        <f>IF(Tabla5[[#This Row],[VALOR INVERSIÓN]]="","",IF(Tabla5[[#This Row],[VALOR INVERSIÓN]]&lt;=10000000,100%*10%*22000,IF(AND(Tabla5[[#This Row],[VALOR INVERSIÓN]]&gt;10000000,Tabla5[[#This Row],[VALOR INVERSIÓN]]&lt;=20000000),60%*10%*22000,20%*10%*22000)))</f>
        <v/>
      </c>
      <c r="O75" s="49" t="str">
        <f>IF(Tabla5[[#This Row],[ROI (MESES)]]="","",IF(Tabla5[[#This Row],[ROI (MESES)]]="N/A","0",IF(Tabla5[[#This Row],[ROI (MESES)]]="&lt;=3",100%*10%*22000,IF(Tabla5[[#This Row],[ROI (MESES)]]="&gt;3&lt;=6",75%*10%*22000,25%*10%*22000))))</f>
        <v/>
      </c>
      <c r="P75" s="49" t="str">
        <f>IF(Tabla5[[#This Row],[FACILIDAD IMPLEM.]]="","",IF(Tabla5[[#This Row],[FACILIDAD IMPLEM.]]="A",100%*10%*22000,IF(AND(Tabla5[[#This Row],[FACILIDAD IMPLEM.]]="B"),50%*10%*22000,20%*10%*22000)))</f>
        <v/>
      </c>
      <c r="Q75" s="49">
        <f>Tabla5[[#This Row],[IMPACTO AMBIENTAL (Máx. 25%)]]*70%*22000+Tabla5[[#This Row],[IMPACTO ECONÓMICO (Máx. 25%)]]*70%*22000+Tabla5[[#This Row],[IMPACTO SST (Máx. 20%)]]*70%*22000+Tabla5[[#This Row],[IMPACTO PRODUCTIVIDAD (Máx. 25%)]]*70%*22000+Tabla5[[#This Row],[IMPACTO ORDEN Y ASEO (Máx. 5%)]]*70%*22000</f>
        <v>0</v>
      </c>
      <c r="R75" s="49" t="str">
        <f>IFERROR(Tabla5[[#This Row],[PUNTOS VALOR INVERSIÓN]]+Tabla5[[#This Row],[PUNTOS ROI ]]+Tabla5[[#This Row],[PUNTOS FACILIDAD IMPLEM. ]]+Tabla5[[#This Row],[PUNTOS IMPACTO ]],"")</f>
        <v/>
      </c>
      <c r="S75" s="54" t="s">
        <v>224</v>
      </c>
      <c r="T75" s="91"/>
      <c r="U75" s="91"/>
      <c r="V75" s="54"/>
      <c r="W75" s="54"/>
      <c r="X75" s="49"/>
      <c r="Y75" s="49"/>
    </row>
    <row r="76" spans="1:25" ht="13.95" hidden="1" customHeight="1" x14ac:dyDescent="0.25">
      <c r="A76" s="47">
        <v>1037607312</v>
      </c>
      <c r="B76" s="53" t="s">
        <v>225</v>
      </c>
      <c r="C76" s="49">
        <v>7461</v>
      </c>
      <c r="D76" s="49" t="s">
        <v>54</v>
      </c>
      <c r="E76" s="49" t="s">
        <v>55</v>
      </c>
      <c r="F76" s="92"/>
      <c r="G76" s="49"/>
      <c r="H76" s="49"/>
      <c r="I76" s="50"/>
      <c r="J76" s="50"/>
      <c r="K76" s="50"/>
      <c r="L76" s="50"/>
      <c r="M76" s="50"/>
      <c r="N76" s="49" t="str">
        <f>IF(Tabla5[[#This Row],[VALOR INVERSIÓN]]="","",IF(Tabla5[[#This Row],[VALOR INVERSIÓN]]&lt;=10000000,100%*10%*22000,IF(AND(Tabla5[[#This Row],[VALOR INVERSIÓN]]&gt;10000000,Tabla5[[#This Row],[VALOR INVERSIÓN]]&lt;=20000000),60%*10%*22000,20%*10%*22000)))</f>
        <v/>
      </c>
      <c r="O76" s="49" t="str">
        <f>IF(Tabla5[[#This Row],[ROI (MESES)]]="","",IF(Tabla5[[#This Row],[ROI (MESES)]]="N/A","0",IF(Tabla5[[#This Row],[ROI (MESES)]]="&lt;=3",100%*10%*22000,IF(Tabla5[[#This Row],[ROI (MESES)]]="&gt;3&lt;=6",75%*10%*22000,25%*10%*22000))))</f>
        <v/>
      </c>
      <c r="P76" s="49" t="str">
        <f>IF(Tabla5[[#This Row],[FACILIDAD IMPLEM.]]="","",IF(Tabla5[[#This Row],[FACILIDAD IMPLEM.]]="A",100%*10%*22000,IF(AND(Tabla5[[#This Row],[FACILIDAD IMPLEM.]]="B"),50%*10%*22000,20%*10%*22000)))</f>
        <v/>
      </c>
      <c r="Q76" s="49">
        <f>Tabla5[[#This Row],[IMPACTO AMBIENTAL (Máx. 25%)]]*70%*22000+Tabla5[[#This Row],[IMPACTO ECONÓMICO (Máx. 25%)]]*70%*22000+Tabla5[[#This Row],[IMPACTO SST (Máx. 20%)]]*70%*22000+Tabla5[[#This Row],[IMPACTO PRODUCTIVIDAD (Máx. 25%)]]*70%*22000+Tabla5[[#This Row],[IMPACTO ORDEN Y ASEO (Máx. 5%)]]*70%*22000</f>
        <v>0</v>
      </c>
      <c r="R76" s="49" t="str">
        <f>IFERROR(Tabla5[[#This Row],[PUNTOS VALOR INVERSIÓN]]+Tabla5[[#This Row],[PUNTOS ROI ]]+Tabla5[[#This Row],[PUNTOS FACILIDAD IMPLEM. ]]+Tabla5[[#This Row],[PUNTOS IMPACTO ]],"")</f>
        <v/>
      </c>
      <c r="S76" s="54"/>
      <c r="T76" s="91"/>
      <c r="U76" s="91"/>
      <c r="V76" s="54"/>
      <c r="W76" s="54"/>
      <c r="X76" s="49"/>
      <c r="Y76" s="49"/>
    </row>
    <row r="77" spans="1:25" ht="13.95" hidden="1" customHeight="1" x14ac:dyDescent="0.25">
      <c r="A77" s="47">
        <v>1001029657</v>
      </c>
      <c r="B77" s="53" t="s">
        <v>226</v>
      </c>
      <c r="C77" s="49">
        <v>7462</v>
      </c>
      <c r="D77" s="49" t="s">
        <v>54</v>
      </c>
      <c r="E77" s="49" t="s">
        <v>55</v>
      </c>
      <c r="F77" s="92"/>
      <c r="G77" s="49"/>
      <c r="H77" s="49"/>
      <c r="I77" s="50"/>
      <c r="J77" s="50"/>
      <c r="K77" s="50"/>
      <c r="L77" s="50"/>
      <c r="M77" s="50"/>
      <c r="N77" s="49" t="str">
        <f>IF(Tabla5[[#This Row],[VALOR INVERSIÓN]]="","",IF(Tabla5[[#This Row],[VALOR INVERSIÓN]]&lt;=10000000,100%*10%*22000,IF(AND(Tabla5[[#This Row],[VALOR INVERSIÓN]]&gt;10000000,Tabla5[[#This Row],[VALOR INVERSIÓN]]&lt;=20000000),60%*10%*22000,20%*10%*22000)))</f>
        <v/>
      </c>
      <c r="O77" s="49" t="str">
        <f>IF(Tabla5[[#This Row],[ROI (MESES)]]="","",IF(Tabla5[[#This Row],[ROI (MESES)]]="N/A","0",IF(Tabla5[[#This Row],[ROI (MESES)]]="&lt;=3",100%*10%*22000,IF(Tabla5[[#This Row],[ROI (MESES)]]="&gt;3&lt;=6",75%*10%*22000,25%*10%*22000))))</f>
        <v/>
      </c>
      <c r="P77" s="49" t="str">
        <f>IF(Tabla5[[#This Row],[FACILIDAD IMPLEM.]]="","",IF(Tabla5[[#This Row],[FACILIDAD IMPLEM.]]="A",100%*10%*22000,IF(AND(Tabla5[[#This Row],[FACILIDAD IMPLEM.]]="B"),50%*10%*22000,20%*10%*22000)))</f>
        <v/>
      </c>
      <c r="Q77" s="49">
        <f>Tabla5[[#This Row],[IMPACTO AMBIENTAL (Máx. 25%)]]*70%*22000+Tabla5[[#This Row],[IMPACTO ECONÓMICO (Máx. 25%)]]*70%*22000+Tabla5[[#This Row],[IMPACTO SST (Máx. 20%)]]*70%*22000+Tabla5[[#This Row],[IMPACTO PRODUCTIVIDAD (Máx. 25%)]]*70%*22000+Tabla5[[#This Row],[IMPACTO ORDEN Y ASEO (Máx. 5%)]]*70%*22000</f>
        <v>0</v>
      </c>
      <c r="R77" s="49" t="str">
        <f>IFERROR(Tabla5[[#This Row],[PUNTOS VALOR INVERSIÓN]]+Tabla5[[#This Row],[PUNTOS ROI ]]+Tabla5[[#This Row],[PUNTOS FACILIDAD IMPLEM. ]]+Tabla5[[#This Row],[PUNTOS IMPACTO ]],"")</f>
        <v/>
      </c>
      <c r="S77" s="54"/>
      <c r="T77" s="91"/>
      <c r="U77" s="91"/>
      <c r="V77" s="54"/>
      <c r="W77" s="54"/>
      <c r="X77" s="49"/>
      <c r="Y77" s="49"/>
    </row>
    <row r="78" spans="1:25" ht="27.6" x14ac:dyDescent="0.25">
      <c r="A78" s="47">
        <v>71801338</v>
      </c>
      <c r="B78" s="53" t="s">
        <v>209</v>
      </c>
      <c r="C78" s="49">
        <v>7521</v>
      </c>
      <c r="D78" s="49" t="s">
        <v>54</v>
      </c>
      <c r="E78" s="49" t="s">
        <v>62</v>
      </c>
      <c r="F78" s="107">
        <v>30000000</v>
      </c>
      <c r="G78" s="49" t="s">
        <v>83</v>
      </c>
      <c r="H78" s="49" t="s">
        <v>78</v>
      </c>
      <c r="I78" s="50">
        <v>0</v>
      </c>
      <c r="J78" s="50">
        <v>0</v>
      </c>
      <c r="K78" s="50">
        <v>0</v>
      </c>
      <c r="L78" s="50">
        <v>0</v>
      </c>
      <c r="M78" s="50">
        <v>0.03</v>
      </c>
      <c r="N78" s="49">
        <f>IF(Tabla5[[#This Row],[VALOR INVERSIÓN]]="","",IF(Tabla5[[#This Row],[VALOR INVERSIÓN]]&lt;=10000000,100%*10%*22000,IF(AND(Tabla5[[#This Row],[VALOR INVERSIÓN]]&gt;10000000,Tabla5[[#This Row],[VALOR INVERSIÓN]]&lt;=20000000),60%*10%*22000,20%*10%*22000)))</f>
        <v>440.00000000000011</v>
      </c>
      <c r="O78" s="49">
        <f>IF(Tabla5[[#This Row],[ROI (MESES)]]="","",IF(Tabla5[[#This Row],[ROI (MESES)]]="N/A","0",IF(Tabla5[[#This Row],[ROI (MESES)]]="&lt;=3",100%*10%*22000,IF(Tabla5[[#This Row],[ROI (MESES)]]="&gt;3&lt;=6",75%*10%*22000,25%*10%*22000))))</f>
        <v>550</v>
      </c>
      <c r="P78" s="49">
        <f>IF(Tabla5[[#This Row],[FACILIDAD IMPLEM.]]="","",IF(Tabla5[[#This Row],[FACILIDAD IMPLEM.]]="A",100%*10%*22000,IF(AND(Tabla5[[#This Row],[FACILIDAD IMPLEM.]]="B"),50%*10%*22000,20%*10%*22000)))</f>
        <v>1100</v>
      </c>
      <c r="Q78" s="49">
        <f>Tabla5[[#This Row],[IMPACTO AMBIENTAL (Máx. 25%)]]*70%*22000+Tabla5[[#This Row],[IMPACTO ECONÓMICO (Máx. 25%)]]*70%*22000+Tabla5[[#This Row],[IMPACTO SST (Máx. 20%)]]*70%*22000+Tabla5[[#This Row],[IMPACTO PRODUCTIVIDAD (Máx. 25%)]]*70%*22000+Tabla5[[#This Row],[IMPACTO ORDEN Y ASEO (Máx. 5%)]]*70%*22000</f>
        <v>461.99999999999994</v>
      </c>
      <c r="R78" s="49">
        <f>IFERROR(Tabla5[[#This Row],[PUNTOS VALOR INVERSIÓN]]+Tabla5[[#This Row],[PUNTOS ROI ]]+Tabla5[[#This Row],[PUNTOS FACILIDAD IMPLEM. ]]+Tabla5[[#This Row],[PUNTOS IMPACTO ]],"")</f>
        <v>2552</v>
      </c>
      <c r="S78" s="54"/>
      <c r="T78" s="91" t="s">
        <v>65</v>
      </c>
      <c r="U78" s="91" t="s">
        <v>84</v>
      </c>
      <c r="V78" s="54" t="s">
        <v>227</v>
      </c>
      <c r="W78" s="54" t="s">
        <v>228</v>
      </c>
      <c r="X78" s="91"/>
      <c r="Y78" s="49" t="s">
        <v>55</v>
      </c>
    </row>
    <row r="79" spans="1:25" ht="13.95" hidden="1" customHeight="1" x14ac:dyDescent="0.25">
      <c r="A79" s="47">
        <v>1000306801</v>
      </c>
      <c r="B79" s="53" t="s">
        <v>229</v>
      </c>
      <c r="C79" s="49">
        <v>7522</v>
      </c>
      <c r="D79" s="49" t="s">
        <v>54</v>
      </c>
      <c r="E79" s="49" t="s">
        <v>55</v>
      </c>
      <c r="F79" s="92"/>
      <c r="G79" s="49"/>
      <c r="H79" s="49"/>
      <c r="I79" s="50"/>
      <c r="J79" s="50"/>
      <c r="K79" s="50"/>
      <c r="L79" s="50"/>
      <c r="M79" s="50"/>
      <c r="N79" s="49" t="str">
        <f>IF(Tabla5[[#This Row],[VALOR INVERSIÓN]]="","",IF(Tabla5[[#This Row],[VALOR INVERSIÓN]]&lt;=10000000,100%*10%*22000,IF(AND(Tabla5[[#This Row],[VALOR INVERSIÓN]]&gt;10000000,Tabla5[[#This Row],[VALOR INVERSIÓN]]&lt;=20000000),60%*10%*22000,20%*10%*22000)))</f>
        <v/>
      </c>
      <c r="O79" s="49" t="str">
        <f>IF(Tabla5[[#This Row],[ROI (MESES)]]="","",IF(Tabla5[[#This Row],[ROI (MESES)]]="N/A","0",IF(Tabla5[[#This Row],[ROI (MESES)]]="&lt;=3",100%*10%*22000,IF(Tabla5[[#This Row],[ROI (MESES)]]="&gt;3&lt;=6",75%*10%*22000,25%*10%*22000))))</f>
        <v/>
      </c>
      <c r="P79" s="49" t="str">
        <f>IF(Tabla5[[#This Row],[FACILIDAD IMPLEM.]]="","",IF(Tabla5[[#This Row],[FACILIDAD IMPLEM.]]="A",100%*10%*22000,IF(AND(Tabla5[[#This Row],[FACILIDAD IMPLEM.]]="B"),50%*10%*22000,20%*10%*22000)))</f>
        <v/>
      </c>
      <c r="Q79" s="49">
        <f>Tabla5[[#This Row],[IMPACTO AMBIENTAL (Máx. 25%)]]*70%*22000+Tabla5[[#This Row],[IMPACTO ECONÓMICO (Máx. 25%)]]*70%*22000+Tabla5[[#This Row],[IMPACTO SST (Máx. 20%)]]*70%*22000+Tabla5[[#This Row],[IMPACTO PRODUCTIVIDAD (Máx. 25%)]]*70%*22000+Tabla5[[#This Row],[IMPACTO ORDEN Y ASEO (Máx. 5%)]]*70%*22000</f>
        <v>0</v>
      </c>
      <c r="R79" s="49" t="str">
        <f>IFERROR(Tabla5[[#This Row],[PUNTOS VALOR INVERSIÓN]]+Tabla5[[#This Row],[PUNTOS ROI ]]+Tabla5[[#This Row],[PUNTOS FACILIDAD IMPLEM. ]]+Tabla5[[#This Row],[PUNTOS IMPACTO ]],"")</f>
        <v/>
      </c>
      <c r="S79" s="54" t="s">
        <v>230</v>
      </c>
      <c r="T79" s="91"/>
      <c r="U79" s="91"/>
      <c r="V79" s="54"/>
      <c r="W79" s="54"/>
      <c r="X79" s="49"/>
      <c r="Y79" s="49"/>
    </row>
    <row r="80" spans="1:25" ht="55.2" x14ac:dyDescent="0.25">
      <c r="A80" s="47">
        <v>1000306801</v>
      </c>
      <c r="B80" s="53" t="s">
        <v>229</v>
      </c>
      <c r="C80" s="49">
        <v>7523</v>
      </c>
      <c r="D80" s="49" t="s">
        <v>54</v>
      </c>
      <c r="E80" s="49" t="s">
        <v>62</v>
      </c>
      <c r="F80" s="107">
        <v>5000000</v>
      </c>
      <c r="G80" s="49" t="s">
        <v>63</v>
      </c>
      <c r="H80" s="49" t="s">
        <v>73</v>
      </c>
      <c r="I80" s="50">
        <v>0</v>
      </c>
      <c r="J80" s="50">
        <v>0.05</v>
      </c>
      <c r="K80" s="50">
        <v>0</v>
      </c>
      <c r="L80" s="50">
        <v>0</v>
      </c>
      <c r="M80" s="50">
        <v>0.03</v>
      </c>
      <c r="N80" s="49">
        <f>IF(Tabla5[[#This Row],[VALOR INVERSIÓN]]="","",IF(Tabla5[[#This Row],[VALOR INVERSIÓN]]&lt;=10000000,100%*10%*22000,IF(AND(Tabla5[[#This Row],[VALOR INVERSIÓN]]&gt;10000000,Tabla5[[#This Row],[VALOR INVERSIÓN]]&lt;=20000000),60%*10%*22000,20%*10%*22000)))</f>
        <v>2200</v>
      </c>
      <c r="O80" s="49" t="str">
        <f>IF(Tabla5[[#This Row],[ROI (MESES)]]="","",IF(Tabla5[[#This Row],[ROI (MESES)]]="N/A","0",IF(Tabla5[[#This Row],[ROI (MESES)]]="&lt;=3",100%*10%*22000,IF(Tabla5[[#This Row],[ROI (MESES)]]="&gt;3&lt;=6",75%*10%*22000,25%*10%*22000))))</f>
        <v>0</v>
      </c>
      <c r="P80" s="49">
        <f>IF(Tabla5[[#This Row],[FACILIDAD IMPLEM.]]="","",IF(Tabla5[[#This Row],[FACILIDAD IMPLEM.]]="A",100%*10%*22000,IF(AND(Tabla5[[#This Row],[FACILIDAD IMPLEM.]]="B"),50%*10%*22000,20%*10%*22000)))</f>
        <v>2200</v>
      </c>
      <c r="Q80" s="49">
        <f>Tabla5[[#This Row],[IMPACTO AMBIENTAL (Máx. 25%)]]*70%*22000+Tabla5[[#This Row],[IMPACTO ECONÓMICO (Máx. 25%)]]*70%*22000+Tabla5[[#This Row],[IMPACTO SST (Máx. 20%)]]*70%*22000+Tabla5[[#This Row],[IMPACTO PRODUCTIVIDAD (Máx. 25%)]]*70%*22000+Tabla5[[#This Row],[IMPACTO ORDEN Y ASEO (Máx. 5%)]]*70%*22000</f>
        <v>1231.9999999999998</v>
      </c>
      <c r="R80" s="49">
        <f>IFERROR(Tabla5[[#This Row],[PUNTOS VALOR INVERSIÓN]]+Tabla5[[#This Row],[PUNTOS ROI ]]+Tabla5[[#This Row],[PUNTOS FACILIDAD IMPLEM. ]]+Tabla5[[#This Row],[PUNTOS IMPACTO ]],"")</f>
        <v>5632</v>
      </c>
      <c r="S80" s="54"/>
      <c r="T80" s="91" t="s">
        <v>79</v>
      </c>
      <c r="U80" s="91" t="s">
        <v>84</v>
      </c>
      <c r="V80" s="54" t="s">
        <v>231</v>
      </c>
      <c r="W80" s="54" t="s">
        <v>232</v>
      </c>
      <c r="X80" s="91"/>
      <c r="Y80" s="49" t="s">
        <v>55</v>
      </c>
    </row>
    <row r="81" spans="1:25" hidden="1" x14ac:dyDescent="0.25">
      <c r="A81" s="47">
        <v>1000306801</v>
      </c>
      <c r="B81" s="53" t="s">
        <v>229</v>
      </c>
      <c r="C81" s="49">
        <v>7524</v>
      </c>
      <c r="D81" s="49" t="s">
        <v>54</v>
      </c>
      <c r="E81" s="49" t="s">
        <v>55</v>
      </c>
      <c r="F81" s="92"/>
      <c r="G81" s="49"/>
      <c r="H81" s="49"/>
      <c r="I81" s="50"/>
      <c r="J81" s="50"/>
      <c r="K81" s="50"/>
      <c r="L81" s="50"/>
      <c r="M81" s="50"/>
      <c r="N81" s="49" t="str">
        <f>IF(Tabla5[[#This Row],[VALOR INVERSIÓN]]="","",IF(Tabla5[[#This Row],[VALOR INVERSIÓN]]&lt;=10000000,100%*10%*22000,IF(AND(Tabla5[[#This Row],[VALOR INVERSIÓN]]&gt;10000000,Tabla5[[#This Row],[VALOR INVERSIÓN]]&lt;=20000000),60%*10%*22000,20%*10%*22000)))</f>
        <v/>
      </c>
      <c r="O81" s="49" t="str">
        <f>IF(Tabla5[[#This Row],[ROI (MESES)]]="","",IF(Tabla5[[#This Row],[ROI (MESES)]]="N/A","0",IF(Tabla5[[#This Row],[ROI (MESES)]]="&lt;=3",100%*10%*22000,IF(Tabla5[[#This Row],[ROI (MESES)]]="&gt;3&lt;=6",75%*10%*22000,25%*10%*22000))))</f>
        <v/>
      </c>
      <c r="P81" s="49" t="str">
        <f>IF(Tabla5[[#This Row],[FACILIDAD IMPLEM.]]="","",IF(Tabla5[[#This Row],[FACILIDAD IMPLEM.]]="A",100%*10%*22000,IF(AND(Tabla5[[#This Row],[FACILIDAD IMPLEM.]]="B"),50%*10%*22000,20%*10%*22000)))</f>
        <v/>
      </c>
      <c r="Q81" s="49"/>
      <c r="R81" s="49" t="str">
        <f>IFERROR(Tabla5[[#This Row],[PUNTOS VALOR INVERSIÓN]]+Tabla5[[#This Row],[PUNTOS ROI ]]+Tabla5[[#This Row],[PUNTOS FACILIDAD IMPLEM. ]]+Tabla5[[#This Row],[PUNTOS IMPACTO ]],"")</f>
        <v/>
      </c>
      <c r="S81" s="54" t="s">
        <v>230</v>
      </c>
      <c r="T81" s="91"/>
      <c r="U81" s="91"/>
      <c r="V81" s="54"/>
      <c r="W81" s="54"/>
      <c r="X81" s="49"/>
      <c r="Y81" s="49"/>
    </row>
    <row r="82" spans="1:25" hidden="1" x14ac:dyDescent="0.25">
      <c r="A82" s="47">
        <v>15258043</v>
      </c>
      <c r="B82" s="53" t="s">
        <v>233</v>
      </c>
      <c r="C82" s="49">
        <v>7525</v>
      </c>
      <c r="D82" s="49" t="s">
        <v>54</v>
      </c>
      <c r="E82" s="49" t="s">
        <v>55</v>
      </c>
      <c r="F82" s="92"/>
      <c r="G82" s="49"/>
      <c r="H82" s="49"/>
      <c r="I82" s="50"/>
      <c r="J82" s="50"/>
      <c r="K82" s="50"/>
      <c r="L82" s="50"/>
      <c r="M82" s="50"/>
      <c r="N82" s="49" t="str">
        <f>IF(Tabla5[[#This Row],[VALOR INVERSIÓN]]="","",IF(Tabla5[[#This Row],[VALOR INVERSIÓN]]&lt;=10000000,100%*10%*22000,IF(AND(Tabla5[[#This Row],[VALOR INVERSIÓN]]&gt;10000000,Tabla5[[#This Row],[VALOR INVERSIÓN]]&lt;=20000000),60%*10%*22000,20%*10%*22000)))</f>
        <v/>
      </c>
      <c r="O82" s="49" t="str">
        <f>IF(Tabla5[[#This Row],[ROI (MESES)]]="","",IF(Tabla5[[#This Row],[ROI (MESES)]]="N/A","0",IF(Tabla5[[#This Row],[ROI (MESES)]]="&lt;=3",100%*10%*22000,IF(Tabla5[[#This Row],[ROI (MESES)]]="&gt;3&lt;=6",75%*10%*22000,25%*10%*22000))))</f>
        <v/>
      </c>
      <c r="P82" s="49" t="str">
        <f>IF(Tabla5[[#This Row],[FACILIDAD IMPLEM.]]="","",IF(Tabla5[[#This Row],[FACILIDAD IMPLEM.]]="A",100%*10%*22000,IF(AND(Tabla5[[#This Row],[FACILIDAD IMPLEM.]]="B"),50%*10%*22000,20%*10%*22000)))</f>
        <v/>
      </c>
      <c r="Q82" s="49">
        <f>Tabla5[[#This Row],[IMPACTO AMBIENTAL (Máx. 25%)]]*70%*22000+Tabla5[[#This Row],[IMPACTO ECONÓMICO (Máx. 25%)]]*70%*22000+Tabla5[[#This Row],[IMPACTO SST (Máx. 20%)]]*70%*22000+Tabla5[[#This Row],[IMPACTO PRODUCTIVIDAD (Máx. 25%)]]*70%*22000+Tabla5[[#This Row],[IMPACTO ORDEN Y ASEO (Máx. 5%)]]*70%*22000</f>
        <v>0</v>
      </c>
      <c r="R82" s="49" t="str">
        <f>IFERROR(Tabla5[[#This Row],[PUNTOS VALOR INVERSIÓN]]+Tabla5[[#This Row],[PUNTOS ROI ]]+Tabla5[[#This Row],[PUNTOS FACILIDAD IMPLEM. ]]+Tabla5[[#This Row],[PUNTOS IMPACTO ]],"")</f>
        <v/>
      </c>
      <c r="S82" s="54"/>
      <c r="T82" s="91"/>
      <c r="U82" s="91"/>
      <c r="V82" s="54"/>
      <c r="W82" s="54"/>
      <c r="X82" s="49"/>
      <c r="Y82" s="49"/>
    </row>
    <row r="83" spans="1:25" ht="46.5" customHeight="1" x14ac:dyDescent="0.25">
      <c r="A83" s="47">
        <v>15258043</v>
      </c>
      <c r="B83" s="53" t="s">
        <v>233</v>
      </c>
      <c r="C83" s="49">
        <v>7526</v>
      </c>
      <c r="D83" s="49" t="s">
        <v>54</v>
      </c>
      <c r="E83" s="49" t="s">
        <v>62</v>
      </c>
      <c r="F83" s="107">
        <v>3000000</v>
      </c>
      <c r="G83" s="49" t="s">
        <v>63</v>
      </c>
      <c r="H83" s="49" t="s">
        <v>73</v>
      </c>
      <c r="I83" s="50">
        <v>0</v>
      </c>
      <c r="J83" s="50">
        <v>0</v>
      </c>
      <c r="K83" s="50">
        <v>0.09</v>
      </c>
      <c r="L83" s="50">
        <v>0</v>
      </c>
      <c r="M83" s="50">
        <v>0.02</v>
      </c>
      <c r="N83" s="49">
        <f>IF(Tabla5[[#This Row],[VALOR INVERSIÓN]]="","",IF(Tabla5[[#This Row],[VALOR INVERSIÓN]]&lt;=10000000,100%*10%*22000,IF(AND(Tabla5[[#This Row],[VALOR INVERSIÓN]]&gt;10000000,Tabla5[[#This Row],[VALOR INVERSIÓN]]&lt;=20000000),60%*10%*22000,20%*10%*22000)))</f>
        <v>2200</v>
      </c>
      <c r="O83" s="49" t="str">
        <f>IF(Tabla5[[#This Row],[ROI (MESES)]]="","",IF(Tabla5[[#This Row],[ROI (MESES)]]="N/A","0",IF(Tabla5[[#This Row],[ROI (MESES)]]="&lt;=3",100%*10%*22000,IF(Tabla5[[#This Row],[ROI (MESES)]]="&gt;3&lt;=6",75%*10%*22000,25%*10%*22000))))</f>
        <v>0</v>
      </c>
      <c r="P83" s="49">
        <f>IF(Tabla5[[#This Row],[FACILIDAD IMPLEM.]]="","",IF(Tabla5[[#This Row],[FACILIDAD IMPLEM.]]="A",100%*10%*22000,IF(AND(Tabla5[[#This Row],[FACILIDAD IMPLEM.]]="B"),50%*10%*22000,20%*10%*22000)))</f>
        <v>2200</v>
      </c>
      <c r="Q83" s="49">
        <f>Tabla5[[#This Row],[IMPACTO AMBIENTAL (Máx. 25%)]]*70%*22000+Tabla5[[#This Row],[IMPACTO ECONÓMICO (Máx. 25%)]]*70%*22000+Tabla5[[#This Row],[IMPACTO SST (Máx. 20%)]]*70%*22000+Tabla5[[#This Row],[IMPACTO PRODUCTIVIDAD (Máx. 25%)]]*70%*22000+Tabla5[[#This Row],[IMPACTO ORDEN Y ASEO (Máx. 5%)]]*70%*22000</f>
        <v>1694</v>
      </c>
      <c r="R83" s="49">
        <f>IFERROR(Tabla5[[#This Row],[PUNTOS VALOR INVERSIÓN]]+Tabla5[[#This Row],[PUNTOS ROI ]]+Tabla5[[#This Row],[PUNTOS FACILIDAD IMPLEM. ]]+Tabla5[[#This Row],[PUNTOS IMPACTO ]],"")</f>
        <v>6094</v>
      </c>
      <c r="S83" s="54"/>
      <c r="T83" s="91" t="s">
        <v>79</v>
      </c>
      <c r="U83" s="91" t="s">
        <v>110</v>
      </c>
      <c r="V83" s="54" t="s">
        <v>234</v>
      </c>
      <c r="W83" s="54" t="s">
        <v>235</v>
      </c>
      <c r="X83" s="91" t="s">
        <v>117</v>
      </c>
      <c r="Y83" s="49" t="s">
        <v>105</v>
      </c>
    </row>
    <row r="84" spans="1:25" hidden="1" x14ac:dyDescent="0.25">
      <c r="A84" s="47">
        <v>1007330306</v>
      </c>
      <c r="B84" s="53" t="s">
        <v>236</v>
      </c>
      <c r="C84" s="49">
        <v>7527</v>
      </c>
      <c r="D84" s="49" t="s">
        <v>218</v>
      </c>
      <c r="E84" s="49" t="s">
        <v>55</v>
      </c>
      <c r="F84" s="92"/>
      <c r="G84" s="49"/>
      <c r="H84" s="49"/>
      <c r="I84" s="50"/>
      <c r="J84" s="50"/>
      <c r="K84" s="50"/>
      <c r="L84" s="50"/>
      <c r="M84" s="50"/>
      <c r="N84" s="49" t="str">
        <f>IF(Tabla5[[#This Row],[VALOR INVERSIÓN]]="","",IF(Tabla5[[#This Row],[VALOR INVERSIÓN]]&lt;=10000000,100%*10%*22000,IF(AND(Tabla5[[#This Row],[VALOR INVERSIÓN]]&gt;10000000,Tabla5[[#This Row],[VALOR INVERSIÓN]]&lt;=20000000),60%*10%*22000,20%*10%*22000)))</f>
        <v/>
      </c>
      <c r="O84" s="49" t="str">
        <f>IF(Tabla5[[#This Row],[ROI (MESES)]]="","",IF(Tabla5[[#This Row],[ROI (MESES)]]="N/A","0",IF(Tabla5[[#This Row],[ROI (MESES)]]="&lt;=3",100%*10%*22000,IF(Tabla5[[#This Row],[ROI (MESES)]]="&gt;3&lt;=6",75%*10%*22000,25%*10%*22000))))</f>
        <v/>
      </c>
      <c r="P84" s="49" t="str">
        <f>IF(Tabla5[[#This Row],[FACILIDAD IMPLEM.]]="","",IF(Tabla5[[#This Row],[FACILIDAD IMPLEM.]]="A",100%*10%*22000,IF(AND(Tabla5[[#This Row],[FACILIDAD IMPLEM.]]="B"),50%*10%*22000,20%*10%*22000)))</f>
        <v/>
      </c>
      <c r="Q84" s="49">
        <f>Tabla5[[#This Row],[IMPACTO AMBIENTAL (Máx. 25%)]]*70%*22000+Tabla5[[#This Row],[IMPACTO ECONÓMICO (Máx. 25%)]]*70%*22000+Tabla5[[#This Row],[IMPACTO SST (Máx. 20%)]]*70%*22000+Tabla5[[#This Row],[IMPACTO PRODUCTIVIDAD (Máx. 25%)]]*70%*22000+Tabla5[[#This Row],[IMPACTO ORDEN Y ASEO (Máx. 5%)]]*70%*22000</f>
        <v>0</v>
      </c>
      <c r="R84" s="49" t="str">
        <f>IFERROR(Tabla5[[#This Row],[PUNTOS VALOR INVERSIÓN]]+Tabla5[[#This Row],[PUNTOS ROI ]]+Tabla5[[#This Row],[PUNTOS FACILIDAD IMPLEM. ]]+Tabla5[[#This Row],[PUNTOS IMPACTO ]],"")</f>
        <v/>
      </c>
      <c r="S84" s="54"/>
      <c r="T84" s="91"/>
      <c r="U84" s="91"/>
      <c r="V84" s="54"/>
      <c r="W84" s="54"/>
      <c r="X84" s="49"/>
      <c r="Y84" s="49"/>
    </row>
    <row r="85" spans="1:25" hidden="1" x14ac:dyDescent="0.25">
      <c r="A85" s="47">
        <v>1007330306</v>
      </c>
      <c r="B85" s="53" t="s">
        <v>236</v>
      </c>
      <c r="C85" s="49">
        <v>7528</v>
      </c>
      <c r="D85" s="49" t="s">
        <v>218</v>
      </c>
      <c r="E85" s="49" t="s">
        <v>55</v>
      </c>
      <c r="F85" s="92"/>
      <c r="G85" s="49"/>
      <c r="H85" s="49"/>
      <c r="I85" s="50"/>
      <c r="J85" s="50"/>
      <c r="K85" s="50"/>
      <c r="L85" s="50"/>
      <c r="M85" s="50"/>
      <c r="N85" s="49" t="str">
        <f>IF(Tabla5[[#This Row],[VALOR INVERSIÓN]]="","",IF(Tabla5[[#This Row],[VALOR INVERSIÓN]]&lt;=10000000,100%*10%*22000,IF(AND(Tabla5[[#This Row],[VALOR INVERSIÓN]]&gt;10000000,Tabla5[[#This Row],[VALOR INVERSIÓN]]&lt;=20000000),60%*10%*22000,20%*10%*22000)))</f>
        <v/>
      </c>
      <c r="O85" s="49" t="str">
        <f>IF(Tabla5[[#This Row],[ROI (MESES)]]="","",IF(Tabla5[[#This Row],[ROI (MESES)]]="N/A","0",IF(Tabla5[[#This Row],[ROI (MESES)]]="&lt;=3",100%*10%*22000,IF(Tabla5[[#This Row],[ROI (MESES)]]="&gt;3&lt;=6",75%*10%*22000,25%*10%*22000))))</f>
        <v/>
      </c>
      <c r="P85" s="49" t="str">
        <f>IF(Tabla5[[#This Row],[FACILIDAD IMPLEM.]]="","",IF(Tabla5[[#This Row],[FACILIDAD IMPLEM.]]="A",100%*10%*22000,IF(AND(Tabla5[[#This Row],[FACILIDAD IMPLEM.]]="B"),50%*10%*22000,20%*10%*22000)))</f>
        <v/>
      </c>
      <c r="Q85" s="49">
        <f>Tabla5[[#This Row],[IMPACTO AMBIENTAL (Máx. 25%)]]*70%*22000+Tabla5[[#This Row],[IMPACTO ECONÓMICO (Máx. 25%)]]*70%*22000+Tabla5[[#This Row],[IMPACTO SST (Máx. 20%)]]*70%*22000+Tabla5[[#This Row],[IMPACTO PRODUCTIVIDAD (Máx. 25%)]]*70%*22000+Tabla5[[#This Row],[IMPACTO ORDEN Y ASEO (Máx. 5%)]]*70%*22000</f>
        <v>0</v>
      </c>
      <c r="R85" s="49" t="str">
        <f>IFERROR(Tabla5[[#This Row],[PUNTOS VALOR INVERSIÓN]]+Tabla5[[#This Row],[PUNTOS ROI ]]+Tabla5[[#This Row],[PUNTOS FACILIDAD IMPLEM. ]]+Tabla5[[#This Row],[PUNTOS IMPACTO ]],"")</f>
        <v/>
      </c>
      <c r="S85" s="54"/>
      <c r="T85" s="91"/>
      <c r="U85" s="91"/>
      <c r="V85" s="54"/>
      <c r="W85" s="54"/>
      <c r="X85" s="49"/>
      <c r="Y85" s="49"/>
    </row>
    <row r="86" spans="1:25" hidden="1" x14ac:dyDescent="0.25">
      <c r="A86" s="47">
        <v>71742028</v>
      </c>
      <c r="B86" s="53" t="s">
        <v>237</v>
      </c>
      <c r="C86" s="49">
        <v>7529</v>
      </c>
      <c r="D86" s="49" t="s">
        <v>54</v>
      </c>
      <c r="E86" s="49" t="s">
        <v>55</v>
      </c>
      <c r="F86" s="92"/>
      <c r="G86" s="49"/>
      <c r="H86" s="49"/>
      <c r="I86" s="50"/>
      <c r="J86" s="50"/>
      <c r="K86" s="50"/>
      <c r="L86" s="50"/>
      <c r="M86" s="50"/>
      <c r="N86" s="49" t="str">
        <f>IF(Tabla5[[#This Row],[VALOR INVERSIÓN]]="","",IF(Tabla5[[#This Row],[VALOR INVERSIÓN]]&lt;=10000000,100%*10%*22000,IF(AND(Tabla5[[#This Row],[VALOR INVERSIÓN]]&gt;10000000,Tabla5[[#This Row],[VALOR INVERSIÓN]]&lt;=20000000),60%*10%*22000,20%*10%*22000)))</f>
        <v/>
      </c>
      <c r="O86" s="49" t="str">
        <f>IF(Tabla5[[#This Row],[ROI (MESES)]]="","",IF(Tabla5[[#This Row],[ROI (MESES)]]="N/A","0",IF(Tabla5[[#This Row],[ROI (MESES)]]="&lt;=3",100%*10%*22000,IF(Tabla5[[#This Row],[ROI (MESES)]]="&gt;3&lt;=6",75%*10%*22000,25%*10%*22000))))</f>
        <v/>
      </c>
      <c r="P86" s="49" t="str">
        <f>IF(Tabla5[[#This Row],[FACILIDAD IMPLEM.]]="","",IF(Tabla5[[#This Row],[FACILIDAD IMPLEM.]]="A",100%*10%*22000,IF(AND(Tabla5[[#This Row],[FACILIDAD IMPLEM.]]="B"),50%*10%*22000,20%*10%*22000)))</f>
        <v/>
      </c>
      <c r="Q86" s="49">
        <f>Tabla5[[#This Row],[IMPACTO AMBIENTAL (Máx. 25%)]]*70%*22000+Tabla5[[#This Row],[IMPACTO ECONÓMICO (Máx. 25%)]]*70%*22000+Tabla5[[#This Row],[IMPACTO SST (Máx. 20%)]]*70%*22000+Tabla5[[#This Row],[IMPACTO PRODUCTIVIDAD (Máx. 25%)]]*70%*22000+Tabla5[[#This Row],[IMPACTO ORDEN Y ASEO (Máx. 5%)]]*70%*22000</f>
        <v>0</v>
      </c>
      <c r="R86" s="49" t="str">
        <f>IFERROR(Tabla5[[#This Row],[PUNTOS VALOR INVERSIÓN]]+Tabla5[[#This Row],[PUNTOS ROI ]]+Tabla5[[#This Row],[PUNTOS FACILIDAD IMPLEM. ]]+Tabla5[[#This Row],[PUNTOS IMPACTO ]],"")</f>
        <v/>
      </c>
      <c r="S86" s="54"/>
      <c r="T86" s="91"/>
      <c r="U86" s="91"/>
      <c r="V86" s="54"/>
      <c r="W86" s="54"/>
      <c r="X86" s="49"/>
      <c r="Y86" s="49"/>
    </row>
    <row r="87" spans="1:25" hidden="1" x14ac:dyDescent="0.25">
      <c r="A87" s="47">
        <v>71273030</v>
      </c>
      <c r="B87" s="53" t="s">
        <v>238</v>
      </c>
      <c r="C87" s="49">
        <v>7530</v>
      </c>
      <c r="D87" s="49" t="s">
        <v>128</v>
      </c>
      <c r="E87" s="49" t="s">
        <v>55</v>
      </c>
      <c r="F87" s="92"/>
      <c r="G87" s="49"/>
      <c r="H87" s="49"/>
      <c r="I87" s="50"/>
      <c r="J87" s="50"/>
      <c r="K87" s="50"/>
      <c r="L87" s="50"/>
      <c r="M87" s="50"/>
      <c r="N87" s="49" t="str">
        <f>IF(Tabla5[[#This Row],[VALOR INVERSIÓN]]="","",IF(Tabla5[[#This Row],[VALOR INVERSIÓN]]&lt;=10000000,100%*10%*22000,IF(AND(Tabla5[[#This Row],[VALOR INVERSIÓN]]&gt;10000000,Tabla5[[#This Row],[VALOR INVERSIÓN]]&lt;=20000000),60%*10%*22000,20%*10%*22000)))</f>
        <v/>
      </c>
      <c r="O87" s="49" t="str">
        <f>IF(Tabla5[[#This Row],[ROI (MESES)]]="","",IF(Tabla5[[#This Row],[ROI (MESES)]]="N/A","0",IF(Tabla5[[#This Row],[ROI (MESES)]]="&lt;=3",100%*10%*22000,IF(Tabla5[[#This Row],[ROI (MESES)]]="&gt;3&lt;=6",75%*10%*22000,25%*10%*22000))))</f>
        <v/>
      </c>
      <c r="P87" s="49" t="str">
        <f>IF(Tabla5[[#This Row],[FACILIDAD IMPLEM.]]="","",IF(Tabla5[[#This Row],[FACILIDAD IMPLEM.]]="A",100%*10%*22000,IF(AND(Tabla5[[#This Row],[FACILIDAD IMPLEM.]]="B"),50%*10%*22000,20%*10%*22000)))</f>
        <v/>
      </c>
      <c r="Q87" s="49">
        <f>Tabla5[[#This Row],[IMPACTO AMBIENTAL (Máx. 25%)]]*70%*22000+Tabla5[[#This Row],[IMPACTO ECONÓMICO (Máx. 25%)]]*70%*22000+Tabla5[[#This Row],[IMPACTO SST (Máx. 20%)]]*70%*22000+Tabla5[[#This Row],[IMPACTO PRODUCTIVIDAD (Máx. 25%)]]*70%*22000+Tabla5[[#This Row],[IMPACTO ORDEN Y ASEO (Máx. 5%)]]*70%*22000</f>
        <v>0</v>
      </c>
      <c r="R87" s="49" t="str">
        <f>IFERROR(Tabla5[[#This Row],[PUNTOS VALOR INVERSIÓN]]+Tabla5[[#This Row],[PUNTOS ROI ]]+Tabla5[[#This Row],[PUNTOS FACILIDAD IMPLEM. ]]+Tabla5[[#This Row],[PUNTOS IMPACTO ]],"")</f>
        <v/>
      </c>
      <c r="S87" s="54"/>
      <c r="T87" s="91"/>
      <c r="U87" s="91"/>
      <c r="V87" s="54"/>
      <c r="W87" s="54"/>
      <c r="X87" s="49"/>
      <c r="Y87" s="49"/>
    </row>
    <row r="88" spans="1:25" hidden="1" x14ac:dyDescent="0.25">
      <c r="A88" s="47">
        <v>1013557593</v>
      </c>
      <c r="B88" s="53" t="s">
        <v>239</v>
      </c>
      <c r="C88" s="49">
        <v>7531</v>
      </c>
      <c r="D88" s="49" t="s">
        <v>218</v>
      </c>
      <c r="E88" s="49" t="s">
        <v>55</v>
      </c>
      <c r="F88" s="92"/>
      <c r="G88" s="49"/>
      <c r="H88" s="49"/>
      <c r="I88" s="50"/>
      <c r="J88" s="50"/>
      <c r="K88" s="50"/>
      <c r="L88" s="50"/>
      <c r="M88" s="50"/>
      <c r="N88" s="49" t="str">
        <f>IF(Tabla5[[#This Row],[VALOR INVERSIÓN]]="","",IF(Tabla5[[#This Row],[VALOR INVERSIÓN]]&lt;=10000000,100%*10%*22000,IF(AND(Tabla5[[#This Row],[VALOR INVERSIÓN]]&gt;10000000,Tabla5[[#This Row],[VALOR INVERSIÓN]]&lt;=20000000),60%*10%*22000,20%*10%*22000)))</f>
        <v/>
      </c>
      <c r="O88" s="49" t="str">
        <f>IF(Tabla5[[#This Row],[ROI (MESES)]]="","",IF(Tabla5[[#This Row],[ROI (MESES)]]="N/A","0",IF(Tabla5[[#This Row],[ROI (MESES)]]="&lt;=3",100%*10%*22000,IF(Tabla5[[#This Row],[ROI (MESES)]]="&gt;3&lt;=6",75%*10%*22000,25%*10%*22000))))</f>
        <v/>
      </c>
      <c r="P88" s="49" t="str">
        <f>IF(Tabla5[[#This Row],[FACILIDAD IMPLEM.]]="","",IF(Tabla5[[#This Row],[FACILIDAD IMPLEM.]]="A",100%*10%*22000,IF(AND(Tabla5[[#This Row],[FACILIDAD IMPLEM.]]="B"),50%*10%*22000,20%*10%*22000)))</f>
        <v/>
      </c>
      <c r="Q88" s="49">
        <f>Tabla5[[#This Row],[IMPACTO AMBIENTAL (Máx. 25%)]]*70%*22000+Tabla5[[#This Row],[IMPACTO ECONÓMICO (Máx. 25%)]]*70%*22000+Tabla5[[#This Row],[IMPACTO SST (Máx. 20%)]]*70%*22000+Tabla5[[#This Row],[IMPACTO PRODUCTIVIDAD (Máx. 25%)]]*70%*22000+Tabla5[[#This Row],[IMPACTO ORDEN Y ASEO (Máx. 5%)]]*70%*22000</f>
        <v>0</v>
      </c>
      <c r="R88" s="49" t="str">
        <f>IFERROR(Tabla5[[#This Row],[PUNTOS VALOR INVERSIÓN]]+Tabla5[[#This Row],[PUNTOS ROI ]]+Tabla5[[#This Row],[PUNTOS FACILIDAD IMPLEM. ]]+Tabla5[[#This Row],[PUNTOS IMPACTO ]],"")</f>
        <v/>
      </c>
      <c r="S88" s="54"/>
      <c r="T88" s="91"/>
      <c r="U88" s="91"/>
      <c r="V88" s="54"/>
      <c r="W88" s="54"/>
      <c r="X88" s="49"/>
      <c r="Y88" s="49"/>
    </row>
    <row r="89" spans="1:25" hidden="1" x14ac:dyDescent="0.25">
      <c r="A89" s="47">
        <v>1036697118</v>
      </c>
      <c r="B89" s="53" t="s">
        <v>240</v>
      </c>
      <c r="C89" s="49">
        <v>7532</v>
      </c>
      <c r="D89" s="49" t="s">
        <v>218</v>
      </c>
      <c r="E89" s="49" t="s">
        <v>55</v>
      </c>
      <c r="F89" s="92"/>
      <c r="G89" s="49"/>
      <c r="H89" s="49"/>
      <c r="I89" s="50"/>
      <c r="J89" s="50"/>
      <c r="K89" s="50"/>
      <c r="L89" s="50"/>
      <c r="M89" s="50"/>
      <c r="N89" s="49" t="str">
        <f>IF(Tabla5[[#This Row],[VALOR INVERSIÓN]]="","",IF(Tabla5[[#This Row],[VALOR INVERSIÓN]]&lt;=10000000,100%*10%*22000,IF(AND(Tabla5[[#This Row],[VALOR INVERSIÓN]]&gt;10000000,Tabla5[[#This Row],[VALOR INVERSIÓN]]&lt;=20000000),60%*10%*22000,20%*10%*22000)))</f>
        <v/>
      </c>
      <c r="O89" s="49" t="str">
        <f>IF(Tabla5[[#This Row],[ROI (MESES)]]="","",IF(Tabla5[[#This Row],[ROI (MESES)]]="N/A","0",IF(Tabla5[[#This Row],[ROI (MESES)]]="&lt;=3",100%*10%*22000,IF(Tabla5[[#This Row],[ROI (MESES)]]="&gt;3&lt;=6",75%*10%*22000,25%*10%*22000))))</f>
        <v/>
      </c>
      <c r="P89" s="49" t="str">
        <f>IF(Tabla5[[#This Row],[FACILIDAD IMPLEM.]]="","",IF(Tabla5[[#This Row],[FACILIDAD IMPLEM.]]="A",100%*10%*22000,IF(AND(Tabla5[[#This Row],[FACILIDAD IMPLEM.]]="B"),50%*10%*22000,20%*10%*22000)))</f>
        <v/>
      </c>
      <c r="Q89" s="49">
        <f>Tabla5[[#This Row],[IMPACTO AMBIENTAL (Máx. 25%)]]*70%*22000+Tabla5[[#This Row],[IMPACTO ECONÓMICO (Máx. 25%)]]*70%*22000+Tabla5[[#This Row],[IMPACTO SST (Máx. 20%)]]*70%*22000+Tabla5[[#This Row],[IMPACTO PRODUCTIVIDAD (Máx. 25%)]]*70%*22000+Tabla5[[#This Row],[IMPACTO ORDEN Y ASEO (Máx. 5%)]]*70%*22000</f>
        <v>0</v>
      </c>
      <c r="R89" s="49" t="str">
        <f>IFERROR(Tabla5[[#This Row],[PUNTOS VALOR INVERSIÓN]]+Tabla5[[#This Row],[PUNTOS ROI ]]+Tabla5[[#This Row],[PUNTOS FACILIDAD IMPLEM. ]]+Tabla5[[#This Row],[PUNTOS IMPACTO ]],"")</f>
        <v/>
      </c>
      <c r="S89" s="54"/>
      <c r="T89" s="91"/>
      <c r="U89" s="91"/>
      <c r="V89" s="54"/>
      <c r="W89" s="54"/>
      <c r="X89" s="49"/>
      <c r="Y89" s="49"/>
    </row>
    <row r="90" spans="1:25" hidden="1" x14ac:dyDescent="0.25">
      <c r="A90" s="47">
        <v>1036697118</v>
      </c>
      <c r="B90" s="53" t="s">
        <v>240</v>
      </c>
      <c r="C90" s="49">
        <v>7533</v>
      </c>
      <c r="D90" s="49" t="s">
        <v>218</v>
      </c>
      <c r="E90" s="49" t="s">
        <v>55</v>
      </c>
      <c r="F90" s="92"/>
      <c r="G90" s="49"/>
      <c r="H90" s="49"/>
      <c r="I90" s="50"/>
      <c r="J90" s="50"/>
      <c r="K90" s="50"/>
      <c r="L90" s="50"/>
      <c r="M90" s="50"/>
      <c r="N90" s="49" t="str">
        <f>IF(Tabla5[[#This Row],[VALOR INVERSIÓN]]="","",IF(Tabla5[[#This Row],[VALOR INVERSIÓN]]&lt;=10000000,100%*10%*22000,IF(AND(Tabla5[[#This Row],[VALOR INVERSIÓN]]&gt;10000000,Tabla5[[#This Row],[VALOR INVERSIÓN]]&lt;=20000000),60%*10%*22000,20%*10%*22000)))</f>
        <v/>
      </c>
      <c r="O90" s="49" t="str">
        <f>IF(Tabla5[[#This Row],[ROI (MESES)]]="","",IF(Tabla5[[#This Row],[ROI (MESES)]]="N/A","0",IF(Tabla5[[#This Row],[ROI (MESES)]]="&lt;=3",100%*10%*22000,IF(Tabla5[[#This Row],[ROI (MESES)]]="&gt;3&lt;=6",75%*10%*22000,25%*10%*22000))))</f>
        <v/>
      </c>
      <c r="P90" s="49" t="str">
        <f>IF(Tabla5[[#This Row],[FACILIDAD IMPLEM.]]="","",IF(Tabla5[[#This Row],[FACILIDAD IMPLEM.]]="A",100%*10%*22000,IF(AND(Tabla5[[#This Row],[FACILIDAD IMPLEM.]]="B"),50%*10%*22000,20%*10%*22000)))</f>
        <v/>
      </c>
      <c r="Q90" s="49">
        <f>Tabla5[[#This Row],[IMPACTO AMBIENTAL (Máx. 25%)]]*70%*22000+Tabla5[[#This Row],[IMPACTO ECONÓMICO (Máx. 25%)]]*70%*22000+Tabla5[[#This Row],[IMPACTO SST (Máx. 20%)]]*70%*22000+Tabla5[[#This Row],[IMPACTO PRODUCTIVIDAD (Máx. 25%)]]*70%*22000+Tabla5[[#This Row],[IMPACTO ORDEN Y ASEO (Máx. 5%)]]*70%*22000</f>
        <v>0</v>
      </c>
      <c r="R90" s="49" t="str">
        <f>IFERROR(Tabla5[[#This Row],[PUNTOS VALOR INVERSIÓN]]+Tabla5[[#This Row],[PUNTOS ROI ]]+Tabla5[[#This Row],[PUNTOS FACILIDAD IMPLEM. ]]+Tabla5[[#This Row],[PUNTOS IMPACTO ]],"")</f>
        <v/>
      </c>
      <c r="S90" s="54"/>
      <c r="T90" s="91"/>
      <c r="U90" s="91"/>
      <c r="V90" s="54"/>
      <c r="W90" s="54"/>
      <c r="X90" s="49"/>
      <c r="Y90" s="49"/>
    </row>
    <row r="91" spans="1:25" hidden="1" x14ac:dyDescent="0.25">
      <c r="A91" s="47">
        <v>1035919859</v>
      </c>
      <c r="B91" s="53" t="s">
        <v>241</v>
      </c>
      <c r="C91" s="49">
        <v>7534</v>
      </c>
      <c r="D91" s="49" t="s">
        <v>218</v>
      </c>
      <c r="E91" s="49" t="s">
        <v>55</v>
      </c>
      <c r="F91" s="92"/>
      <c r="G91" s="49"/>
      <c r="H91" s="49"/>
      <c r="I91" s="50"/>
      <c r="J91" s="50"/>
      <c r="K91" s="50"/>
      <c r="L91" s="50"/>
      <c r="M91" s="50"/>
      <c r="N91" s="49" t="str">
        <f>IF(Tabla5[[#This Row],[VALOR INVERSIÓN]]="","",IF(Tabla5[[#This Row],[VALOR INVERSIÓN]]&lt;=10000000,100%*10%*22000,IF(AND(Tabla5[[#This Row],[VALOR INVERSIÓN]]&gt;10000000,Tabla5[[#This Row],[VALOR INVERSIÓN]]&lt;=20000000),60%*10%*22000,20%*10%*22000)))</f>
        <v/>
      </c>
      <c r="O91" s="49" t="str">
        <f>IF(Tabla5[[#This Row],[ROI (MESES)]]="","",IF(Tabla5[[#This Row],[ROI (MESES)]]="N/A","0",IF(Tabla5[[#This Row],[ROI (MESES)]]="&lt;=3",100%*10%*22000,IF(Tabla5[[#This Row],[ROI (MESES)]]="&gt;3&lt;=6",75%*10%*22000,25%*10%*22000))))</f>
        <v/>
      </c>
      <c r="P91" s="49" t="str">
        <f>IF(Tabla5[[#This Row],[FACILIDAD IMPLEM.]]="","",IF(Tabla5[[#This Row],[FACILIDAD IMPLEM.]]="A",100%*10%*22000,IF(AND(Tabla5[[#This Row],[FACILIDAD IMPLEM.]]="B"),50%*10%*22000,20%*10%*22000)))</f>
        <v/>
      </c>
      <c r="Q91" s="49">
        <f>Tabla5[[#This Row],[IMPACTO AMBIENTAL (Máx. 25%)]]*70%*22000+Tabla5[[#This Row],[IMPACTO ECONÓMICO (Máx. 25%)]]*70%*22000+Tabla5[[#This Row],[IMPACTO SST (Máx. 20%)]]*70%*22000+Tabla5[[#This Row],[IMPACTO PRODUCTIVIDAD (Máx. 25%)]]*70%*22000+Tabla5[[#This Row],[IMPACTO ORDEN Y ASEO (Máx. 5%)]]*70%*22000</f>
        <v>0</v>
      </c>
      <c r="R91" s="49" t="str">
        <f>IFERROR(Tabla5[[#This Row],[PUNTOS VALOR INVERSIÓN]]+Tabla5[[#This Row],[PUNTOS ROI ]]+Tabla5[[#This Row],[PUNTOS FACILIDAD IMPLEM. ]]+Tabla5[[#This Row],[PUNTOS IMPACTO ]],"")</f>
        <v/>
      </c>
      <c r="S91" s="54"/>
      <c r="T91" s="91"/>
      <c r="U91" s="91"/>
      <c r="V91" s="54"/>
      <c r="W91" s="54"/>
      <c r="X91" s="49"/>
      <c r="Y91" s="49"/>
    </row>
    <row r="92" spans="1:25" hidden="1" x14ac:dyDescent="0.25">
      <c r="A92" s="47">
        <v>1147692351</v>
      </c>
      <c r="B92" s="53" t="s">
        <v>242</v>
      </c>
      <c r="C92" s="49">
        <v>7535</v>
      </c>
      <c r="D92" s="49" t="s">
        <v>218</v>
      </c>
      <c r="E92" s="49" t="s">
        <v>55</v>
      </c>
      <c r="F92" s="92"/>
      <c r="G92" s="49"/>
      <c r="H92" s="49"/>
      <c r="I92" s="50"/>
      <c r="J92" s="50"/>
      <c r="K92" s="50"/>
      <c r="L92" s="50"/>
      <c r="M92" s="50"/>
      <c r="N92" s="49" t="str">
        <f>IF(Tabla5[[#This Row],[VALOR INVERSIÓN]]="","",IF(Tabla5[[#This Row],[VALOR INVERSIÓN]]&lt;=10000000,100%*10%*22000,IF(AND(Tabla5[[#This Row],[VALOR INVERSIÓN]]&gt;10000000,Tabla5[[#This Row],[VALOR INVERSIÓN]]&lt;=20000000),60%*10%*22000,20%*10%*22000)))</f>
        <v/>
      </c>
      <c r="O92" s="49" t="str">
        <f>IF(Tabla5[[#This Row],[ROI (MESES)]]="","",IF(Tabla5[[#This Row],[ROI (MESES)]]="N/A","0",IF(Tabla5[[#This Row],[ROI (MESES)]]="&lt;=3",100%*10%*22000,IF(Tabla5[[#This Row],[ROI (MESES)]]="&gt;3&lt;=6",75%*10%*22000,25%*10%*22000))))</f>
        <v/>
      </c>
      <c r="P92" s="49" t="str">
        <f>IF(Tabla5[[#This Row],[FACILIDAD IMPLEM.]]="","",IF(Tabla5[[#This Row],[FACILIDAD IMPLEM.]]="A",100%*10%*22000,IF(AND(Tabla5[[#This Row],[FACILIDAD IMPLEM.]]="B"),50%*10%*22000,20%*10%*22000)))</f>
        <v/>
      </c>
      <c r="Q92" s="49">
        <f>Tabla5[[#This Row],[IMPACTO AMBIENTAL (Máx. 25%)]]*70%*22000+Tabla5[[#This Row],[IMPACTO ECONÓMICO (Máx. 25%)]]*70%*22000+Tabla5[[#This Row],[IMPACTO SST (Máx. 20%)]]*70%*22000+Tabla5[[#This Row],[IMPACTO PRODUCTIVIDAD (Máx. 25%)]]*70%*22000+Tabla5[[#This Row],[IMPACTO ORDEN Y ASEO (Máx. 5%)]]*70%*22000</f>
        <v>0</v>
      </c>
      <c r="R92" s="49" t="str">
        <f>IFERROR(Tabla5[[#This Row],[PUNTOS VALOR INVERSIÓN]]+Tabla5[[#This Row],[PUNTOS ROI ]]+Tabla5[[#This Row],[PUNTOS FACILIDAD IMPLEM. ]]+Tabla5[[#This Row],[PUNTOS IMPACTO ]],"")</f>
        <v/>
      </c>
      <c r="S92" s="54"/>
      <c r="T92" s="91"/>
      <c r="U92" s="91"/>
      <c r="V92" s="54"/>
      <c r="W92" s="54"/>
      <c r="X92" s="49"/>
      <c r="Y92" s="49"/>
    </row>
    <row r="93" spans="1:25" hidden="1" x14ac:dyDescent="0.25">
      <c r="A93" s="47">
        <v>1214747832</v>
      </c>
      <c r="B93" s="53" t="s">
        <v>243</v>
      </c>
      <c r="C93" s="49">
        <v>7536</v>
      </c>
      <c r="D93" s="49" t="s">
        <v>218</v>
      </c>
      <c r="E93" s="49" t="s">
        <v>55</v>
      </c>
      <c r="F93" s="92"/>
      <c r="G93" s="49"/>
      <c r="H93" s="49"/>
      <c r="I93" s="50"/>
      <c r="J93" s="50"/>
      <c r="K93" s="50"/>
      <c r="L93" s="50"/>
      <c r="M93" s="50"/>
      <c r="N93" s="49" t="str">
        <f>IF(Tabla5[[#This Row],[VALOR INVERSIÓN]]="","",IF(Tabla5[[#This Row],[VALOR INVERSIÓN]]&lt;=10000000,100%*10%*22000,IF(AND(Tabla5[[#This Row],[VALOR INVERSIÓN]]&gt;10000000,Tabla5[[#This Row],[VALOR INVERSIÓN]]&lt;=20000000),60%*10%*22000,20%*10%*22000)))</f>
        <v/>
      </c>
      <c r="O93" s="49" t="str">
        <f>IF(Tabla5[[#This Row],[ROI (MESES)]]="","",IF(Tabla5[[#This Row],[ROI (MESES)]]="N/A","0",IF(Tabla5[[#This Row],[ROI (MESES)]]="&lt;=3",100%*10%*22000,IF(Tabla5[[#This Row],[ROI (MESES)]]="&gt;3&lt;=6",75%*10%*22000,25%*10%*22000))))</f>
        <v/>
      </c>
      <c r="P93" s="49" t="str">
        <f>IF(Tabla5[[#This Row],[FACILIDAD IMPLEM.]]="","",IF(Tabla5[[#This Row],[FACILIDAD IMPLEM.]]="A",100%*10%*22000,IF(AND(Tabla5[[#This Row],[FACILIDAD IMPLEM.]]="B"),50%*10%*22000,20%*10%*22000)))</f>
        <v/>
      </c>
      <c r="Q93" s="49">
        <f>Tabla5[[#This Row],[IMPACTO AMBIENTAL (Máx. 25%)]]*70%*22000+Tabla5[[#This Row],[IMPACTO ECONÓMICO (Máx. 25%)]]*70%*22000+Tabla5[[#This Row],[IMPACTO SST (Máx. 20%)]]*70%*22000+Tabla5[[#This Row],[IMPACTO PRODUCTIVIDAD (Máx. 25%)]]*70%*22000+Tabla5[[#This Row],[IMPACTO ORDEN Y ASEO (Máx. 5%)]]*70%*22000</f>
        <v>0</v>
      </c>
      <c r="R93" s="49" t="str">
        <f>IFERROR(Tabla5[[#This Row],[PUNTOS VALOR INVERSIÓN]]+Tabla5[[#This Row],[PUNTOS ROI ]]+Tabla5[[#This Row],[PUNTOS FACILIDAD IMPLEM. ]]+Tabla5[[#This Row],[PUNTOS IMPACTO ]],"")</f>
        <v/>
      </c>
      <c r="S93" s="54"/>
      <c r="T93" s="91"/>
      <c r="U93" s="91"/>
      <c r="V93" s="54"/>
      <c r="W93" s="54"/>
      <c r="X93" s="49"/>
      <c r="Y93" s="49"/>
    </row>
    <row r="94" spans="1:25" hidden="1" x14ac:dyDescent="0.25">
      <c r="A94" s="47">
        <v>1036967118</v>
      </c>
      <c r="B94" s="53" t="s">
        <v>240</v>
      </c>
      <c r="C94" s="49">
        <v>7537</v>
      </c>
      <c r="D94" s="49" t="s">
        <v>218</v>
      </c>
      <c r="E94" s="49" t="s">
        <v>55</v>
      </c>
      <c r="F94" s="92"/>
      <c r="G94" s="49"/>
      <c r="H94" s="49"/>
      <c r="I94" s="50"/>
      <c r="J94" s="50"/>
      <c r="K94" s="50"/>
      <c r="L94" s="50"/>
      <c r="M94" s="50"/>
      <c r="N94" s="49" t="str">
        <f>IF(Tabla5[[#This Row],[VALOR INVERSIÓN]]="","",IF(Tabla5[[#This Row],[VALOR INVERSIÓN]]&lt;=10000000,100%*10%*22000,IF(AND(Tabla5[[#This Row],[VALOR INVERSIÓN]]&gt;10000000,Tabla5[[#This Row],[VALOR INVERSIÓN]]&lt;=20000000),60%*10%*22000,20%*10%*22000)))</f>
        <v/>
      </c>
      <c r="O94" s="49" t="str">
        <f>IF(Tabla5[[#This Row],[ROI (MESES)]]="","",IF(Tabla5[[#This Row],[ROI (MESES)]]="N/A","0",IF(Tabla5[[#This Row],[ROI (MESES)]]="&lt;=3",100%*10%*22000,IF(Tabla5[[#This Row],[ROI (MESES)]]="&gt;3&lt;=6",75%*10%*22000,25%*10%*22000))))</f>
        <v/>
      </c>
      <c r="P94" s="49" t="str">
        <f>IF(Tabla5[[#This Row],[FACILIDAD IMPLEM.]]="","",IF(Tabla5[[#This Row],[FACILIDAD IMPLEM.]]="A",100%*10%*22000,IF(AND(Tabla5[[#This Row],[FACILIDAD IMPLEM.]]="B"),50%*10%*22000,20%*10%*22000)))</f>
        <v/>
      </c>
      <c r="Q94" s="49">
        <f>Tabla5[[#This Row],[IMPACTO AMBIENTAL (Máx. 25%)]]*70%*22000+Tabla5[[#This Row],[IMPACTO ECONÓMICO (Máx. 25%)]]*70%*22000+Tabla5[[#This Row],[IMPACTO SST (Máx. 20%)]]*70%*22000+Tabla5[[#This Row],[IMPACTO PRODUCTIVIDAD (Máx. 25%)]]*70%*22000+Tabla5[[#This Row],[IMPACTO ORDEN Y ASEO (Máx. 5%)]]*70%*22000</f>
        <v>0</v>
      </c>
      <c r="R94" s="49" t="str">
        <f>IFERROR(Tabla5[[#This Row],[PUNTOS VALOR INVERSIÓN]]+Tabla5[[#This Row],[PUNTOS ROI ]]+Tabla5[[#This Row],[PUNTOS FACILIDAD IMPLEM. ]]+Tabla5[[#This Row],[PUNTOS IMPACTO ]],"")</f>
        <v/>
      </c>
      <c r="S94" s="54"/>
      <c r="T94" s="91"/>
      <c r="U94" s="91"/>
      <c r="V94" s="54"/>
      <c r="W94" s="54"/>
      <c r="X94" s="49"/>
      <c r="Y94" s="49"/>
    </row>
    <row r="95" spans="1:25" hidden="1" x14ac:dyDescent="0.25">
      <c r="A95" s="47">
        <v>1013557593</v>
      </c>
      <c r="B95" s="53" t="s">
        <v>239</v>
      </c>
      <c r="C95" s="49">
        <v>7538</v>
      </c>
      <c r="D95" s="49" t="s">
        <v>218</v>
      </c>
      <c r="E95" s="49" t="s">
        <v>55</v>
      </c>
      <c r="F95" s="92"/>
      <c r="G95" s="49"/>
      <c r="H95" s="49"/>
      <c r="I95" s="50"/>
      <c r="J95" s="50"/>
      <c r="K95" s="50"/>
      <c r="L95" s="50"/>
      <c r="M95" s="50"/>
      <c r="N95" s="49" t="str">
        <f>IF(Tabla5[[#This Row],[VALOR INVERSIÓN]]="","",IF(Tabla5[[#This Row],[VALOR INVERSIÓN]]&lt;=10000000,100%*10%*22000,IF(AND(Tabla5[[#This Row],[VALOR INVERSIÓN]]&gt;10000000,Tabla5[[#This Row],[VALOR INVERSIÓN]]&lt;=20000000),60%*10%*22000,20%*10%*22000)))</f>
        <v/>
      </c>
      <c r="O95" s="49" t="str">
        <f>IF(Tabla5[[#This Row],[ROI (MESES)]]="","",IF(Tabla5[[#This Row],[ROI (MESES)]]="N/A","0",IF(Tabla5[[#This Row],[ROI (MESES)]]="&lt;=3",100%*10%*22000,IF(Tabla5[[#This Row],[ROI (MESES)]]="&gt;3&lt;=6",75%*10%*22000,25%*10%*22000))))</f>
        <v/>
      </c>
      <c r="P95" s="49" t="str">
        <f>IF(Tabla5[[#This Row],[FACILIDAD IMPLEM.]]="","",IF(Tabla5[[#This Row],[FACILIDAD IMPLEM.]]="A",100%*10%*22000,IF(AND(Tabla5[[#This Row],[FACILIDAD IMPLEM.]]="B"),50%*10%*22000,20%*10%*22000)))</f>
        <v/>
      </c>
      <c r="Q95" s="49">
        <f>Tabla5[[#This Row],[IMPACTO AMBIENTAL (Máx. 25%)]]*70%*22000+Tabla5[[#This Row],[IMPACTO ECONÓMICO (Máx. 25%)]]*70%*22000+Tabla5[[#This Row],[IMPACTO SST (Máx. 20%)]]*70%*22000+Tabla5[[#This Row],[IMPACTO PRODUCTIVIDAD (Máx. 25%)]]*70%*22000+Tabla5[[#This Row],[IMPACTO ORDEN Y ASEO (Máx. 5%)]]*70%*22000</f>
        <v>0</v>
      </c>
      <c r="R95" s="49" t="str">
        <f>IFERROR(Tabla5[[#This Row],[PUNTOS VALOR INVERSIÓN]]+Tabla5[[#This Row],[PUNTOS ROI ]]+Tabla5[[#This Row],[PUNTOS FACILIDAD IMPLEM. ]]+Tabla5[[#This Row],[PUNTOS IMPACTO ]],"")</f>
        <v/>
      </c>
      <c r="S95" s="54"/>
      <c r="T95" s="91"/>
      <c r="U95" s="91"/>
      <c r="V95" s="54"/>
      <c r="W95" s="54"/>
      <c r="X95" s="49"/>
      <c r="Y95" s="49"/>
    </row>
    <row r="96" spans="1:25" ht="30.6" hidden="1" customHeight="1" x14ac:dyDescent="0.25">
      <c r="A96" s="47">
        <v>1035919859</v>
      </c>
      <c r="B96" s="53" t="s">
        <v>241</v>
      </c>
      <c r="C96" s="49">
        <v>7539</v>
      </c>
      <c r="D96" s="49" t="s">
        <v>218</v>
      </c>
      <c r="E96" s="49" t="s">
        <v>55</v>
      </c>
      <c r="F96" s="92"/>
      <c r="G96" s="49"/>
      <c r="H96" s="49"/>
      <c r="I96" s="50"/>
      <c r="J96" s="50"/>
      <c r="K96" s="50"/>
      <c r="L96" s="50"/>
      <c r="M96" s="50"/>
      <c r="N96" s="49" t="str">
        <f>IF(Tabla5[[#This Row],[VALOR INVERSIÓN]]="","",IF(Tabla5[[#This Row],[VALOR INVERSIÓN]]&lt;=10000000,100%*10%*22000,IF(AND(Tabla5[[#This Row],[VALOR INVERSIÓN]]&gt;10000000,Tabla5[[#This Row],[VALOR INVERSIÓN]]&lt;=20000000),60%*10%*22000,20%*10%*22000)))</f>
        <v/>
      </c>
      <c r="O96" s="49" t="str">
        <f>IF(Tabla5[[#This Row],[ROI (MESES)]]="","",IF(Tabla5[[#This Row],[ROI (MESES)]]="N/A","0",IF(Tabla5[[#This Row],[ROI (MESES)]]="&lt;=3",100%*10%*22000,IF(Tabla5[[#This Row],[ROI (MESES)]]="&gt;3&lt;=6",75%*10%*22000,25%*10%*22000))))</f>
        <v/>
      </c>
      <c r="P96" s="49" t="str">
        <f>IF(Tabla5[[#This Row],[FACILIDAD IMPLEM.]]="","",IF(Tabla5[[#This Row],[FACILIDAD IMPLEM.]]="A",100%*10%*22000,IF(AND(Tabla5[[#This Row],[FACILIDAD IMPLEM.]]="B"),50%*10%*22000,20%*10%*22000)))</f>
        <v/>
      </c>
      <c r="Q96" s="49">
        <f>Tabla5[[#This Row],[IMPACTO AMBIENTAL (Máx. 25%)]]*70%*22000+Tabla5[[#This Row],[IMPACTO ECONÓMICO (Máx. 25%)]]*70%*22000+Tabla5[[#This Row],[IMPACTO SST (Máx. 20%)]]*70%*22000+Tabla5[[#This Row],[IMPACTO PRODUCTIVIDAD (Máx. 25%)]]*70%*22000+Tabla5[[#This Row],[IMPACTO ORDEN Y ASEO (Máx. 5%)]]*70%*22000</f>
        <v>0</v>
      </c>
      <c r="R96" s="49" t="str">
        <f>IFERROR(Tabla5[[#This Row],[PUNTOS VALOR INVERSIÓN]]+Tabla5[[#This Row],[PUNTOS ROI ]]+Tabla5[[#This Row],[PUNTOS FACILIDAD IMPLEM. ]]+Tabla5[[#This Row],[PUNTOS IMPACTO ]],"")</f>
        <v/>
      </c>
      <c r="S96" s="54"/>
      <c r="T96" s="91"/>
      <c r="U96" s="91"/>
      <c r="V96" s="54"/>
      <c r="W96" s="54"/>
      <c r="X96" s="49"/>
      <c r="Y96" s="49"/>
    </row>
    <row r="97" spans="1:25" hidden="1" x14ac:dyDescent="0.25">
      <c r="A97" s="47">
        <v>1000567397</v>
      </c>
      <c r="B97" s="53" t="s">
        <v>244</v>
      </c>
      <c r="C97" s="49">
        <v>7540</v>
      </c>
      <c r="D97" s="49" t="s">
        <v>54</v>
      </c>
      <c r="E97" s="49" t="s">
        <v>55</v>
      </c>
      <c r="F97" s="92"/>
      <c r="G97" s="49"/>
      <c r="H97" s="49"/>
      <c r="I97" s="50"/>
      <c r="J97" s="50"/>
      <c r="K97" s="50"/>
      <c r="L97" s="50"/>
      <c r="M97" s="50"/>
      <c r="N97" s="49" t="str">
        <f>IF(Tabla5[[#This Row],[VALOR INVERSIÓN]]="","",IF(Tabla5[[#This Row],[VALOR INVERSIÓN]]&lt;=10000000,100%*10%*22000,IF(AND(Tabla5[[#This Row],[VALOR INVERSIÓN]]&gt;10000000,Tabla5[[#This Row],[VALOR INVERSIÓN]]&lt;=20000000),60%*10%*22000,20%*10%*22000)))</f>
        <v/>
      </c>
      <c r="O97" s="49" t="str">
        <f>IF(Tabla5[[#This Row],[ROI (MESES)]]="","",IF(Tabla5[[#This Row],[ROI (MESES)]]="N/A","0",IF(Tabla5[[#This Row],[ROI (MESES)]]="&lt;=3",100%*10%*22000,IF(Tabla5[[#This Row],[ROI (MESES)]]="&gt;3&lt;=6",75%*10%*22000,25%*10%*22000))))</f>
        <v/>
      </c>
      <c r="P97" s="49" t="str">
        <f>IF(Tabla5[[#This Row],[FACILIDAD IMPLEM.]]="","",IF(Tabla5[[#This Row],[FACILIDAD IMPLEM.]]="A",100%*10%*22000,IF(AND(Tabla5[[#This Row],[FACILIDAD IMPLEM.]]="B"),50%*10%*22000,20%*10%*22000)))</f>
        <v/>
      </c>
      <c r="Q97" s="49">
        <f>Tabla5[[#This Row],[IMPACTO AMBIENTAL (Máx. 25%)]]*70%*22000+Tabla5[[#This Row],[IMPACTO ECONÓMICO (Máx. 25%)]]*70%*22000+Tabla5[[#This Row],[IMPACTO SST (Máx. 20%)]]*70%*22000+Tabla5[[#This Row],[IMPACTO PRODUCTIVIDAD (Máx. 25%)]]*70%*22000+Tabla5[[#This Row],[IMPACTO ORDEN Y ASEO (Máx. 5%)]]*70%*22000</f>
        <v>0</v>
      </c>
      <c r="R97" s="49" t="str">
        <f>IFERROR(Tabla5[[#This Row],[PUNTOS VALOR INVERSIÓN]]+Tabla5[[#This Row],[PUNTOS ROI ]]+Tabla5[[#This Row],[PUNTOS FACILIDAD IMPLEM. ]]+Tabla5[[#This Row],[PUNTOS IMPACTO ]],"")</f>
        <v/>
      </c>
      <c r="S97" s="54" t="s">
        <v>245</v>
      </c>
      <c r="T97" s="91"/>
      <c r="U97" s="91"/>
      <c r="V97" s="54"/>
      <c r="W97" s="54"/>
      <c r="X97" s="49"/>
      <c r="Y97" s="49"/>
    </row>
    <row r="98" spans="1:25" ht="27.6" x14ac:dyDescent="0.25">
      <c r="A98" s="47">
        <v>1073676872</v>
      </c>
      <c r="B98" s="53" t="s">
        <v>246</v>
      </c>
      <c r="C98" s="49">
        <v>7541</v>
      </c>
      <c r="D98" s="49" t="s">
        <v>54</v>
      </c>
      <c r="E98" s="49" t="s">
        <v>62</v>
      </c>
      <c r="F98" s="107">
        <v>1200000</v>
      </c>
      <c r="G98" s="49" t="s">
        <v>63</v>
      </c>
      <c r="H98" s="49" t="s">
        <v>73</v>
      </c>
      <c r="I98" s="50">
        <v>0</v>
      </c>
      <c r="J98" s="50">
        <v>0</v>
      </c>
      <c r="K98" s="50">
        <v>0.05</v>
      </c>
      <c r="L98" s="50">
        <v>7.0000000000000007E-2</v>
      </c>
      <c r="M98" s="50">
        <v>0</v>
      </c>
      <c r="N98" s="49">
        <f>IF(Tabla5[[#This Row],[VALOR INVERSIÓN]]="","",IF(Tabla5[[#This Row],[VALOR INVERSIÓN]]&lt;=10000000,100%*10%*22000,IF(AND(Tabla5[[#This Row],[VALOR INVERSIÓN]]&gt;10000000,Tabla5[[#This Row],[VALOR INVERSIÓN]]&lt;=20000000),60%*10%*22000,20%*10%*22000)))</f>
        <v>2200</v>
      </c>
      <c r="O98" s="49" t="str">
        <f>IF(Tabla5[[#This Row],[ROI (MESES)]]="","",IF(Tabla5[[#This Row],[ROI (MESES)]]="N/A","0",IF(Tabla5[[#This Row],[ROI (MESES)]]="&lt;=3",100%*10%*22000,IF(Tabla5[[#This Row],[ROI (MESES)]]="&gt;3&lt;=6",75%*10%*22000,25%*10%*22000))))</f>
        <v>0</v>
      </c>
      <c r="P98" s="49">
        <f>IF(Tabla5[[#This Row],[FACILIDAD IMPLEM.]]="","",IF(Tabla5[[#This Row],[FACILIDAD IMPLEM.]]="A",100%*10%*22000,IF(AND(Tabla5[[#This Row],[FACILIDAD IMPLEM.]]="B"),50%*10%*22000,20%*10%*22000)))</f>
        <v>2200</v>
      </c>
      <c r="Q98" s="49">
        <f>Tabla5[[#This Row],[IMPACTO AMBIENTAL (Máx. 25%)]]*70%*22000+Tabla5[[#This Row],[IMPACTO ECONÓMICO (Máx. 25%)]]*70%*22000+Tabla5[[#This Row],[IMPACTO SST (Máx. 20%)]]*70%*22000+Tabla5[[#This Row],[IMPACTO PRODUCTIVIDAD (Máx. 25%)]]*70%*22000+Tabla5[[#This Row],[IMPACTO ORDEN Y ASEO (Máx. 5%)]]*70%*22000</f>
        <v>1848</v>
      </c>
      <c r="R98" s="49">
        <f>IFERROR(Tabla5[[#This Row],[PUNTOS VALOR INVERSIÓN]]+Tabla5[[#This Row],[PUNTOS ROI ]]+Tabla5[[#This Row],[PUNTOS FACILIDAD IMPLEM. ]]+Tabla5[[#This Row],[PUNTOS IMPACTO ]],"")</f>
        <v>6248</v>
      </c>
      <c r="S98" s="54"/>
      <c r="T98" s="91" t="s">
        <v>79</v>
      </c>
      <c r="U98" s="91" t="s">
        <v>110</v>
      </c>
      <c r="V98" s="54" t="s">
        <v>247</v>
      </c>
      <c r="W98" s="54" t="s">
        <v>248</v>
      </c>
      <c r="X98" s="91" t="s">
        <v>55</v>
      </c>
      <c r="Y98" s="49" t="s">
        <v>55</v>
      </c>
    </row>
    <row r="99" spans="1:25" hidden="1" x14ac:dyDescent="0.25">
      <c r="A99" s="47">
        <v>1040741865</v>
      </c>
      <c r="B99" s="53" t="s">
        <v>249</v>
      </c>
      <c r="C99" s="49">
        <v>7542</v>
      </c>
      <c r="D99" s="49" t="s">
        <v>54</v>
      </c>
      <c r="E99" s="49" t="s">
        <v>55</v>
      </c>
      <c r="F99" s="92"/>
      <c r="G99" s="49"/>
      <c r="H99" s="49"/>
      <c r="I99" s="50"/>
      <c r="J99" s="50"/>
      <c r="K99" s="50"/>
      <c r="L99" s="50"/>
      <c r="M99" s="50"/>
      <c r="N99" s="49" t="str">
        <f>IF(Tabla5[[#This Row],[VALOR INVERSIÓN]]="","",IF(Tabla5[[#This Row],[VALOR INVERSIÓN]]&lt;=10000000,100%*10%*22000,IF(AND(Tabla5[[#This Row],[VALOR INVERSIÓN]]&gt;10000000,Tabla5[[#This Row],[VALOR INVERSIÓN]]&lt;=20000000),60%*10%*22000,20%*10%*22000)))</f>
        <v/>
      </c>
      <c r="O99" s="49" t="str">
        <f>IF(Tabla5[[#This Row],[ROI (MESES)]]="","",IF(Tabla5[[#This Row],[ROI (MESES)]]="N/A","0",IF(Tabla5[[#This Row],[ROI (MESES)]]="&lt;=3",100%*10%*22000,IF(Tabla5[[#This Row],[ROI (MESES)]]="&gt;3&lt;=6",75%*10%*22000,25%*10%*22000))))</f>
        <v/>
      </c>
      <c r="P99" s="49" t="str">
        <f>IF(Tabla5[[#This Row],[FACILIDAD IMPLEM.]]="","",IF(Tabla5[[#This Row],[FACILIDAD IMPLEM.]]="A",100%*10%*22000,IF(AND(Tabla5[[#This Row],[FACILIDAD IMPLEM.]]="B"),50%*10%*22000,20%*10%*22000)))</f>
        <v/>
      </c>
      <c r="Q99" s="49">
        <f>Tabla5[[#This Row],[IMPACTO AMBIENTAL (Máx. 25%)]]*70%*22000+Tabla5[[#This Row],[IMPACTO ECONÓMICO (Máx. 25%)]]*70%*22000+Tabla5[[#This Row],[IMPACTO SST (Máx. 20%)]]*70%*22000+Tabla5[[#This Row],[IMPACTO PRODUCTIVIDAD (Máx. 25%)]]*70%*22000+Tabla5[[#This Row],[IMPACTO ORDEN Y ASEO (Máx. 5%)]]*70%*22000</f>
        <v>0</v>
      </c>
      <c r="R99" s="49" t="str">
        <f>IFERROR(Tabla5[[#This Row],[PUNTOS VALOR INVERSIÓN]]+Tabla5[[#This Row],[PUNTOS ROI ]]+Tabla5[[#This Row],[PUNTOS FACILIDAD IMPLEM. ]]+Tabla5[[#This Row],[PUNTOS IMPACTO ]],"")</f>
        <v/>
      </c>
      <c r="S99" s="54"/>
      <c r="T99" s="91"/>
      <c r="U99" s="91"/>
      <c r="V99" s="54"/>
      <c r="W99" s="54"/>
      <c r="X99" s="49"/>
      <c r="Y99" s="49"/>
    </row>
    <row r="100" spans="1:25" hidden="1" x14ac:dyDescent="0.25">
      <c r="A100" s="47">
        <v>1000567397</v>
      </c>
      <c r="B100" s="53" t="s">
        <v>244</v>
      </c>
      <c r="C100" s="49">
        <v>7543</v>
      </c>
      <c r="D100" s="49" t="s">
        <v>54</v>
      </c>
      <c r="E100" s="49" t="s">
        <v>55</v>
      </c>
      <c r="F100" s="92"/>
      <c r="G100" s="49"/>
      <c r="H100" s="49"/>
      <c r="I100" s="50"/>
      <c r="J100" s="50"/>
      <c r="K100" s="50"/>
      <c r="L100" s="50"/>
      <c r="M100" s="50"/>
      <c r="N100" s="49" t="str">
        <f>IF(Tabla5[[#This Row],[VALOR INVERSIÓN]]="","",IF(Tabla5[[#This Row],[VALOR INVERSIÓN]]&lt;=10000000,100%*10%*22000,IF(AND(Tabla5[[#This Row],[VALOR INVERSIÓN]]&gt;10000000,Tabla5[[#This Row],[VALOR INVERSIÓN]]&lt;=20000000),60%*10%*22000,20%*10%*22000)))</f>
        <v/>
      </c>
      <c r="O100" s="49" t="str">
        <f>IF(Tabla5[[#This Row],[ROI (MESES)]]="","",IF(Tabla5[[#This Row],[ROI (MESES)]]="N/A","0",IF(Tabla5[[#This Row],[ROI (MESES)]]="&lt;=3",100%*10%*22000,IF(Tabla5[[#This Row],[ROI (MESES)]]="&gt;3&lt;=6",75%*10%*22000,25%*10%*22000))))</f>
        <v/>
      </c>
      <c r="P100" s="49" t="str">
        <f>IF(Tabla5[[#This Row],[FACILIDAD IMPLEM.]]="","",IF(Tabla5[[#This Row],[FACILIDAD IMPLEM.]]="A",100%*10%*22000,IF(AND(Tabla5[[#This Row],[FACILIDAD IMPLEM.]]="B"),50%*10%*22000,20%*10%*22000)))</f>
        <v/>
      </c>
      <c r="Q100" s="49">
        <f>Tabla5[[#This Row],[IMPACTO AMBIENTAL (Máx. 25%)]]*70%*22000+Tabla5[[#This Row],[IMPACTO ECONÓMICO (Máx. 25%)]]*70%*22000+Tabla5[[#This Row],[IMPACTO SST (Máx. 20%)]]*70%*22000+Tabla5[[#This Row],[IMPACTO PRODUCTIVIDAD (Máx. 25%)]]*70%*22000+Tabla5[[#This Row],[IMPACTO ORDEN Y ASEO (Máx. 5%)]]*70%*22000</f>
        <v>0</v>
      </c>
      <c r="R100" s="49" t="str">
        <f>IFERROR(Tabla5[[#This Row],[PUNTOS VALOR INVERSIÓN]]+Tabla5[[#This Row],[PUNTOS ROI ]]+Tabla5[[#This Row],[PUNTOS FACILIDAD IMPLEM. ]]+Tabla5[[#This Row],[PUNTOS IMPACTO ]],"")</f>
        <v/>
      </c>
      <c r="S100" s="54" t="s">
        <v>250</v>
      </c>
      <c r="T100" s="91"/>
      <c r="U100" s="91"/>
      <c r="V100" s="54"/>
      <c r="W100" s="54"/>
      <c r="X100" s="49"/>
      <c r="Y100" s="49"/>
    </row>
    <row r="101" spans="1:25" hidden="1" x14ac:dyDescent="0.25">
      <c r="A101" s="47">
        <v>71311035</v>
      </c>
      <c r="B101" s="53" t="s">
        <v>114</v>
      </c>
      <c r="C101" s="49">
        <v>7544</v>
      </c>
      <c r="D101" s="49" t="s">
        <v>54</v>
      </c>
      <c r="E101" s="49" t="s">
        <v>55</v>
      </c>
      <c r="F101" s="92"/>
      <c r="G101" s="49"/>
      <c r="H101" s="49"/>
      <c r="I101" s="50"/>
      <c r="J101" s="50"/>
      <c r="K101" s="50"/>
      <c r="L101" s="50"/>
      <c r="M101" s="50"/>
      <c r="N101" s="49" t="str">
        <f>IF(Tabla5[[#This Row],[VALOR INVERSIÓN]]="","",IF(Tabla5[[#This Row],[VALOR INVERSIÓN]]&lt;=10000000,100%*10%*22000,IF(AND(Tabla5[[#This Row],[VALOR INVERSIÓN]]&gt;10000000,Tabla5[[#This Row],[VALOR INVERSIÓN]]&lt;=20000000),60%*10%*22000,20%*10%*22000)))</f>
        <v/>
      </c>
      <c r="O101" s="49" t="str">
        <f>IF(Tabla5[[#This Row],[ROI (MESES)]]="","",IF(Tabla5[[#This Row],[ROI (MESES)]]="N/A","0",IF(Tabla5[[#This Row],[ROI (MESES)]]="&lt;=3",100%*10%*22000,IF(Tabla5[[#This Row],[ROI (MESES)]]="&gt;3&lt;=6",75%*10%*22000,25%*10%*22000))))</f>
        <v/>
      </c>
      <c r="P101" s="49" t="str">
        <f>IF(Tabla5[[#This Row],[FACILIDAD IMPLEM.]]="","",IF(Tabla5[[#This Row],[FACILIDAD IMPLEM.]]="A",100%*10%*22000,IF(AND(Tabla5[[#This Row],[FACILIDAD IMPLEM.]]="B"),50%*10%*22000,20%*10%*22000)))</f>
        <v/>
      </c>
      <c r="Q101" s="49">
        <f>Tabla5[[#This Row],[IMPACTO AMBIENTAL (Máx. 25%)]]*70%*22000+Tabla5[[#This Row],[IMPACTO ECONÓMICO (Máx. 25%)]]*70%*22000+Tabla5[[#This Row],[IMPACTO SST (Máx. 20%)]]*70%*22000+Tabla5[[#This Row],[IMPACTO PRODUCTIVIDAD (Máx. 25%)]]*70%*22000+Tabla5[[#This Row],[IMPACTO ORDEN Y ASEO (Máx. 5%)]]*70%*22000</f>
        <v>0</v>
      </c>
      <c r="R101" s="49" t="str">
        <f>IFERROR(Tabla5[[#This Row],[PUNTOS VALOR INVERSIÓN]]+Tabla5[[#This Row],[PUNTOS ROI ]]+Tabla5[[#This Row],[PUNTOS FACILIDAD IMPLEM. ]]+Tabla5[[#This Row],[PUNTOS IMPACTO ]],"")</f>
        <v/>
      </c>
      <c r="S101" s="54" t="s">
        <v>251</v>
      </c>
      <c r="T101" s="91"/>
      <c r="U101" s="91"/>
      <c r="V101" s="54"/>
      <c r="W101" s="54"/>
      <c r="X101" s="49"/>
      <c r="Y101" s="49"/>
    </row>
    <row r="102" spans="1:25" ht="27.6" hidden="1" x14ac:dyDescent="0.25">
      <c r="A102" s="47">
        <v>71311035</v>
      </c>
      <c r="B102" s="53" t="s">
        <v>114</v>
      </c>
      <c r="C102" s="49">
        <v>7545</v>
      </c>
      <c r="D102" s="49" t="s">
        <v>54</v>
      </c>
      <c r="E102" s="49" t="s">
        <v>55</v>
      </c>
      <c r="F102" s="92"/>
      <c r="G102" s="49"/>
      <c r="H102" s="49"/>
      <c r="I102" s="50"/>
      <c r="J102" s="50"/>
      <c r="K102" s="50"/>
      <c r="L102" s="50"/>
      <c r="M102" s="50"/>
      <c r="N102" s="49" t="str">
        <f>IF(Tabla5[[#This Row],[VALOR INVERSIÓN]]="","",IF(Tabla5[[#This Row],[VALOR INVERSIÓN]]&lt;=10000000,100%*10%*22000,IF(AND(Tabla5[[#This Row],[VALOR INVERSIÓN]]&gt;10000000,Tabla5[[#This Row],[VALOR INVERSIÓN]]&lt;=20000000),60%*10%*22000,20%*10%*22000)))</f>
        <v/>
      </c>
      <c r="O102" s="49" t="str">
        <f>IF(Tabla5[[#This Row],[ROI (MESES)]]="","",IF(Tabla5[[#This Row],[ROI (MESES)]]="N/A","0",IF(Tabla5[[#This Row],[ROI (MESES)]]="&lt;=3",100%*10%*22000,IF(Tabla5[[#This Row],[ROI (MESES)]]="&gt;3&lt;=6",75%*10%*22000,25%*10%*22000))))</f>
        <v/>
      </c>
      <c r="P102" s="49" t="str">
        <f>IF(Tabla5[[#This Row],[FACILIDAD IMPLEM.]]="","",IF(Tabla5[[#This Row],[FACILIDAD IMPLEM.]]="A",100%*10%*22000,IF(AND(Tabla5[[#This Row],[FACILIDAD IMPLEM.]]="B"),50%*10%*22000,20%*10%*22000)))</f>
        <v/>
      </c>
      <c r="Q102" s="49">
        <f>Tabla5[[#This Row],[IMPACTO AMBIENTAL (Máx. 25%)]]*70%*22000+Tabla5[[#This Row],[IMPACTO ECONÓMICO (Máx. 25%)]]*70%*22000+Tabla5[[#This Row],[IMPACTO SST (Máx. 20%)]]*70%*22000+Tabla5[[#This Row],[IMPACTO PRODUCTIVIDAD (Máx. 25%)]]*70%*22000+Tabla5[[#This Row],[IMPACTO ORDEN Y ASEO (Máx. 5%)]]*70%*22000</f>
        <v>0</v>
      </c>
      <c r="R102" s="49" t="str">
        <f>IFERROR(Tabla5[[#This Row],[PUNTOS VALOR INVERSIÓN]]+Tabla5[[#This Row],[PUNTOS ROI ]]+Tabla5[[#This Row],[PUNTOS FACILIDAD IMPLEM. ]]+Tabla5[[#This Row],[PUNTOS IMPACTO ]],"")</f>
        <v/>
      </c>
      <c r="S102" s="54" t="s">
        <v>252</v>
      </c>
      <c r="T102" s="91"/>
      <c r="U102" s="91"/>
      <c r="V102" s="54"/>
      <c r="W102" s="54"/>
      <c r="X102" s="49"/>
      <c r="Y102" s="49"/>
    </row>
    <row r="103" spans="1:25" ht="27.6" x14ac:dyDescent="0.25">
      <c r="A103" s="47">
        <v>1020395897</v>
      </c>
      <c r="B103" s="53" t="s">
        <v>253</v>
      </c>
      <c r="C103" s="49">
        <v>6769</v>
      </c>
      <c r="D103" s="49" t="s">
        <v>54</v>
      </c>
      <c r="E103" s="49" t="s">
        <v>62</v>
      </c>
      <c r="F103" s="107">
        <v>0</v>
      </c>
      <c r="G103" s="49" t="s">
        <v>100</v>
      </c>
      <c r="H103" s="49" t="s">
        <v>73</v>
      </c>
      <c r="I103" s="50">
        <v>0.05</v>
      </c>
      <c r="J103" s="50">
        <v>0.16</v>
      </c>
      <c r="K103" s="50">
        <v>0</v>
      </c>
      <c r="L103" s="50">
        <v>0</v>
      </c>
      <c r="M103" s="50">
        <v>0</v>
      </c>
      <c r="N103" s="49">
        <f>IF(Tabla5[[#This Row],[VALOR INVERSIÓN]]="","",IF(Tabla5[[#This Row],[VALOR INVERSIÓN]]&lt;=10000000,100%*10%*22000,IF(AND(Tabla5[[#This Row],[VALOR INVERSIÓN]]&gt;10000000,Tabla5[[#This Row],[VALOR INVERSIÓN]]&lt;=20000000),60%*10%*22000,20%*10%*22000)))</f>
        <v>2200</v>
      </c>
      <c r="O103" s="49">
        <f>IF(Tabla5[[#This Row],[ROI (MESES)]]="","",IF(Tabla5[[#This Row],[ROI (MESES)]]="N/A","0",IF(Tabla5[[#This Row],[ROI (MESES)]]="&lt;=3",100%*10%*22000,IF(Tabla5[[#This Row],[ROI (MESES)]]="&gt;3&lt;=6",75%*10%*22000,25%*10%*22000))))</f>
        <v>2200</v>
      </c>
      <c r="P103" s="49">
        <f>IF(Tabla5[[#This Row],[FACILIDAD IMPLEM.]]="","",IF(Tabla5[[#This Row],[FACILIDAD IMPLEM.]]="A",100%*10%*22000,IF(AND(Tabla5[[#This Row],[FACILIDAD IMPLEM.]]="B"),50%*10%*22000,20%*10%*22000)))</f>
        <v>2200</v>
      </c>
      <c r="Q103" s="49">
        <f>Tabla5[[#This Row],[IMPACTO AMBIENTAL (Máx. 25%)]]*70%*22000+Tabla5[[#This Row],[IMPACTO ECONÓMICO (Máx. 25%)]]*70%*22000+Tabla5[[#This Row],[IMPACTO SST (Máx. 20%)]]*70%*22000+Tabla5[[#This Row],[IMPACTO PRODUCTIVIDAD (Máx. 25%)]]*70%*22000+Tabla5[[#This Row],[IMPACTO ORDEN Y ASEO (Máx. 5%)]]*70%*22000</f>
        <v>3233.9999999999995</v>
      </c>
      <c r="R103" s="49">
        <f>IFERROR(Tabla5[[#This Row],[PUNTOS VALOR INVERSIÓN]]+Tabla5[[#This Row],[PUNTOS ROI ]]+Tabla5[[#This Row],[PUNTOS FACILIDAD IMPLEM. ]]+Tabla5[[#This Row],[PUNTOS IMPACTO ]],"")</f>
        <v>9834</v>
      </c>
      <c r="S103" s="54" t="s">
        <v>184</v>
      </c>
      <c r="T103" s="91" t="s">
        <v>79</v>
      </c>
      <c r="U103" s="91" t="s">
        <v>89</v>
      </c>
      <c r="V103" s="54" t="s">
        <v>254</v>
      </c>
      <c r="W103" s="54" t="s">
        <v>255</v>
      </c>
      <c r="X103" s="91" t="s">
        <v>205</v>
      </c>
      <c r="Y103" s="49" t="s">
        <v>77</v>
      </c>
    </row>
    <row r="104" spans="1:25" hidden="1" x14ac:dyDescent="0.25">
      <c r="A104" s="47">
        <v>1035392207</v>
      </c>
      <c r="B104" s="53" t="s">
        <v>256</v>
      </c>
      <c r="C104" s="49">
        <v>7547</v>
      </c>
      <c r="D104" s="49" t="s">
        <v>54</v>
      </c>
      <c r="E104" s="49" t="s">
        <v>55</v>
      </c>
      <c r="F104" s="92"/>
      <c r="G104" s="49"/>
      <c r="H104" s="49"/>
      <c r="I104" s="50"/>
      <c r="J104" s="50"/>
      <c r="K104" s="50"/>
      <c r="L104" s="50"/>
      <c r="M104" s="50"/>
      <c r="N104" s="49" t="str">
        <f>IF(Tabla5[[#This Row],[VALOR INVERSIÓN]]="","",IF(Tabla5[[#This Row],[VALOR INVERSIÓN]]&lt;=10000000,100%*10%*22000,IF(AND(Tabla5[[#This Row],[VALOR INVERSIÓN]]&gt;10000000,Tabla5[[#This Row],[VALOR INVERSIÓN]]&lt;=20000000),60%*10%*22000,20%*10%*22000)))</f>
        <v/>
      </c>
      <c r="O104" s="49" t="str">
        <f>IF(Tabla5[[#This Row],[ROI (MESES)]]="","",IF(Tabla5[[#This Row],[ROI (MESES)]]="N/A","0",IF(Tabla5[[#This Row],[ROI (MESES)]]="&lt;=3",100%*10%*22000,IF(Tabla5[[#This Row],[ROI (MESES)]]="&gt;3&lt;=6",75%*10%*22000,25%*10%*22000))))</f>
        <v/>
      </c>
      <c r="P104" s="49" t="str">
        <f>IF(Tabla5[[#This Row],[FACILIDAD IMPLEM.]]="","",IF(Tabla5[[#This Row],[FACILIDAD IMPLEM.]]="A",100%*10%*22000,IF(AND(Tabla5[[#This Row],[FACILIDAD IMPLEM.]]="B"),50%*10%*22000,20%*10%*22000)))</f>
        <v/>
      </c>
      <c r="Q104" s="49">
        <f>Tabla5[[#This Row],[IMPACTO AMBIENTAL (Máx. 25%)]]*70%*22000+Tabla5[[#This Row],[IMPACTO ECONÓMICO (Máx. 25%)]]*70%*22000+Tabla5[[#This Row],[IMPACTO SST (Máx. 20%)]]*70%*22000+Tabla5[[#This Row],[IMPACTO PRODUCTIVIDAD (Máx. 25%)]]*70%*22000+Tabla5[[#This Row],[IMPACTO ORDEN Y ASEO (Máx. 5%)]]*70%*22000</f>
        <v>0</v>
      </c>
      <c r="R104" s="49" t="str">
        <f>IFERROR(Tabla5[[#This Row],[PUNTOS VALOR INVERSIÓN]]+Tabla5[[#This Row],[PUNTOS ROI ]]+Tabla5[[#This Row],[PUNTOS FACILIDAD IMPLEM. ]]+Tabla5[[#This Row],[PUNTOS IMPACTO ]],"")</f>
        <v/>
      </c>
      <c r="S104" s="54"/>
      <c r="T104" s="91"/>
      <c r="U104" s="91"/>
      <c r="V104" s="54"/>
      <c r="W104" s="54"/>
      <c r="X104" s="49"/>
      <c r="Y104" s="49"/>
    </row>
    <row r="105" spans="1:25" ht="27.6" x14ac:dyDescent="0.25">
      <c r="A105" s="47">
        <v>78078872</v>
      </c>
      <c r="B105" s="53" t="s">
        <v>61</v>
      </c>
      <c r="C105" s="49">
        <v>7548</v>
      </c>
      <c r="D105" s="49" t="s">
        <v>54</v>
      </c>
      <c r="E105" s="49" t="s">
        <v>62</v>
      </c>
      <c r="F105" s="107">
        <v>6000000</v>
      </c>
      <c r="G105" s="49" t="s">
        <v>63</v>
      </c>
      <c r="H105" s="49" t="s">
        <v>78</v>
      </c>
      <c r="I105" s="50">
        <v>0</v>
      </c>
      <c r="J105" s="50">
        <v>0</v>
      </c>
      <c r="K105" s="50">
        <v>0.15</v>
      </c>
      <c r="L105" s="50">
        <v>0</v>
      </c>
      <c r="M105" s="50">
        <v>0</v>
      </c>
      <c r="N105" s="49">
        <f>IF(Tabla5[[#This Row],[VALOR INVERSIÓN]]="","",IF(Tabla5[[#This Row],[VALOR INVERSIÓN]]&lt;=10000000,100%*10%*22000,IF(AND(Tabla5[[#This Row],[VALOR INVERSIÓN]]&gt;10000000,Tabla5[[#This Row],[VALOR INVERSIÓN]]&lt;=20000000),60%*10%*22000,20%*10%*22000)))</f>
        <v>2200</v>
      </c>
      <c r="O105" s="49" t="str">
        <f>IF(Tabla5[[#This Row],[ROI (MESES)]]="","",IF(Tabla5[[#This Row],[ROI (MESES)]]="N/A","0",IF(Tabla5[[#This Row],[ROI (MESES)]]="&lt;=3",100%*10%*22000,IF(Tabla5[[#This Row],[ROI (MESES)]]="&gt;3&lt;=6",75%*10%*22000,25%*10%*22000))))</f>
        <v>0</v>
      </c>
      <c r="P105" s="49">
        <f>IF(Tabla5[[#This Row],[FACILIDAD IMPLEM.]]="","",IF(Tabla5[[#This Row],[FACILIDAD IMPLEM.]]="A",100%*10%*22000,IF(AND(Tabla5[[#This Row],[FACILIDAD IMPLEM.]]="B"),50%*10%*22000,20%*10%*22000)))</f>
        <v>1100</v>
      </c>
      <c r="Q105" s="49">
        <f>Tabla5[[#This Row],[IMPACTO AMBIENTAL (Máx. 25%)]]*70%*22000+Tabla5[[#This Row],[IMPACTO ECONÓMICO (Máx. 25%)]]*70%*22000+Tabla5[[#This Row],[IMPACTO SST (Máx. 20%)]]*70%*22000+Tabla5[[#This Row],[IMPACTO PRODUCTIVIDAD (Máx. 25%)]]*70%*22000+Tabla5[[#This Row],[IMPACTO ORDEN Y ASEO (Máx. 5%)]]*70%*22000</f>
        <v>2310</v>
      </c>
      <c r="R105" s="49">
        <f>IFERROR(Tabla5[[#This Row],[PUNTOS VALOR INVERSIÓN]]+Tabla5[[#This Row],[PUNTOS ROI ]]+Tabla5[[#This Row],[PUNTOS FACILIDAD IMPLEM. ]]+Tabla5[[#This Row],[PUNTOS IMPACTO ]],"")</f>
        <v>5610</v>
      </c>
      <c r="S105" s="54"/>
      <c r="T105" s="91" t="s">
        <v>65</v>
      </c>
      <c r="U105" s="91" t="s">
        <v>84</v>
      </c>
      <c r="V105" s="54" t="s">
        <v>257</v>
      </c>
      <c r="W105" s="54" t="s">
        <v>258</v>
      </c>
      <c r="X105" s="91"/>
      <c r="Y105" s="49" t="s">
        <v>55</v>
      </c>
    </row>
    <row r="106" spans="1:25" ht="41.4" x14ac:dyDescent="0.25">
      <c r="A106" s="47">
        <v>1010079231</v>
      </c>
      <c r="B106" s="53" t="s">
        <v>259</v>
      </c>
      <c r="C106" s="49">
        <v>7549</v>
      </c>
      <c r="D106" s="49" t="s">
        <v>54</v>
      </c>
      <c r="E106" s="49" t="s">
        <v>62</v>
      </c>
      <c r="F106" s="107">
        <v>10000000</v>
      </c>
      <c r="G106" s="49" t="s">
        <v>83</v>
      </c>
      <c r="H106" s="49" t="s">
        <v>73</v>
      </c>
      <c r="I106" s="50">
        <v>0</v>
      </c>
      <c r="J106" s="50">
        <v>0.12</v>
      </c>
      <c r="K106" s="50">
        <v>0</v>
      </c>
      <c r="L106" s="50">
        <v>0.1</v>
      </c>
      <c r="M106" s="50">
        <v>0.01</v>
      </c>
      <c r="N106" s="49">
        <f>IF(Tabla5[[#This Row],[VALOR INVERSIÓN]]="","",IF(Tabla5[[#This Row],[VALOR INVERSIÓN]]&lt;=10000000,100%*10%*22000,IF(AND(Tabla5[[#This Row],[VALOR INVERSIÓN]]&gt;10000000,Tabla5[[#This Row],[VALOR INVERSIÓN]]&lt;=20000000),60%*10%*22000,20%*10%*22000)))</f>
        <v>2200</v>
      </c>
      <c r="O106" s="49">
        <f>IF(Tabla5[[#This Row],[ROI (MESES)]]="","",IF(Tabla5[[#This Row],[ROI (MESES)]]="N/A","0",IF(Tabla5[[#This Row],[ROI (MESES)]]="&lt;=3",100%*10%*22000,IF(Tabla5[[#This Row],[ROI (MESES)]]="&gt;3&lt;=6",75%*10%*22000,25%*10%*22000))))</f>
        <v>550</v>
      </c>
      <c r="P106" s="49">
        <f>IF(Tabla5[[#This Row],[FACILIDAD IMPLEM.]]="","",IF(Tabla5[[#This Row],[FACILIDAD IMPLEM.]]="A",100%*10%*22000,IF(AND(Tabla5[[#This Row],[FACILIDAD IMPLEM.]]="B"),50%*10%*22000,20%*10%*22000)))</f>
        <v>2200</v>
      </c>
      <c r="Q106" s="49">
        <f>Tabla5[[#This Row],[IMPACTO AMBIENTAL (Máx. 25%)]]*70%*22000+Tabla5[[#This Row],[IMPACTO ECONÓMICO (Máx. 25%)]]*70%*22000+Tabla5[[#This Row],[IMPACTO SST (Máx. 20%)]]*70%*22000+Tabla5[[#This Row],[IMPACTO PRODUCTIVIDAD (Máx. 25%)]]*70%*22000+Tabla5[[#This Row],[IMPACTO ORDEN Y ASEO (Máx. 5%)]]*70%*22000</f>
        <v>3541.9999999999995</v>
      </c>
      <c r="R106" s="49">
        <f>IFERROR(Tabla5[[#This Row],[PUNTOS VALOR INVERSIÓN]]+Tabla5[[#This Row],[PUNTOS ROI ]]+Tabla5[[#This Row],[PUNTOS FACILIDAD IMPLEM. ]]+Tabla5[[#This Row],[PUNTOS IMPACTO ]],"")</f>
        <v>8492</v>
      </c>
      <c r="S106" s="54"/>
      <c r="T106" s="91" t="s">
        <v>79</v>
      </c>
      <c r="U106" s="91" t="s">
        <v>110</v>
      </c>
      <c r="V106" s="54" t="s">
        <v>260</v>
      </c>
      <c r="W106" s="54" t="s">
        <v>261</v>
      </c>
      <c r="X106" s="91" t="s">
        <v>262</v>
      </c>
      <c r="Y106" s="49" t="s">
        <v>77</v>
      </c>
    </row>
    <row r="107" spans="1:25" ht="41.4" x14ac:dyDescent="0.25">
      <c r="A107" s="47">
        <v>1000751888</v>
      </c>
      <c r="B107" s="53" t="s">
        <v>127</v>
      </c>
      <c r="C107" s="49">
        <v>5427</v>
      </c>
      <c r="D107" s="49" t="s">
        <v>128</v>
      </c>
      <c r="E107" s="49" t="s">
        <v>62</v>
      </c>
      <c r="F107" s="107">
        <v>1000000</v>
      </c>
      <c r="G107" s="49" t="s">
        <v>83</v>
      </c>
      <c r="H107" s="49" t="s">
        <v>73</v>
      </c>
      <c r="I107" s="50">
        <v>0.08</v>
      </c>
      <c r="J107" s="50">
        <v>0.04</v>
      </c>
      <c r="K107" s="50">
        <v>0</v>
      </c>
      <c r="L107" s="50">
        <v>0</v>
      </c>
      <c r="M107" s="50">
        <v>0.03</v>
      </c>
      <c r="N107" s="49">
        <f>IF(Tabla5[[#This Row],[VALOR INVERSIÓN]]="","",IF(Tabla5[[#This Row],[VALOR INVERSIÓN]]&lt;=10000000,100%*10%*22000,IF(AND(Tabla5[[#This Row],[VALOR INVERSIÓN]]&gt;10000000,Tabla5[[#This Row],[VALOR INVERSIÓN]]&lt;=20000000),60%*10%*22000,20%*10%*22000)))</f>
        <v>2200</v>
      </c>
      <c r="O107" s="49">
        <f>IF(Tabla5[[#This Row],[ROI (MESES)]]="","",IF(Tabla5[[#This Row],[ROI (MESES)]]="N/A","0",IF(Tabla5[[#This Row],[ROI (MESES)]]="&lt;=3",100%*10%*22000,IF(Tabla5[[#This Row],[ROI (MESES)]]="&gt;3&lt;=6",75%*10%*22000,25%*10%*22000))))</f>
        <v>550</v>
      </c>
      <c r="P107" s="49">
        <f>IF(Tabla5[[#This Row],[FACILIDAD IMPLEM.]]="","",IF(Tabla5[[#This Row],[FACILIDAD IMPLEM.]]="A",100%*10%*22000,IF(AND(Tabla5[[#This Row],[FACILIDAD IMPLEM.]]="B"),50%*10%*22000,20%*10%*22000)))</f>
        <v>2200</v>
      </c>
      <c r="Q107" s="49">
        <f>Tabla5[[#This Row],[IMPACTO AMBIENTAL (Máx. 25%)]]*70%*22000+Tabla5[[#This Row],[IMPACTO ECONÓMICO (Máx. 25%)]]*70%*22000+Tabla5[[#This Row],[IMPACTO SST (Máx. 20%)]]*70%*22000+Tabla5[[#This Row],[IMPACTO PRODUCTIVIDAD (Máx. 25%)]]*70%*22000+Tabla5[[#This Row],[IMPACTO ORDEN Y ASEO (Máx. 5%)]]*70%*22000</f>
        <v>2309.9999999999995</v>
      </c>
      <c r="R107" s="49">
        <f>IFERROR(Tabla5[[#This Row],[PUNTOS VALOR INVERSIÓN]]+Tabla5[[#This Row],[PUNTOS ROI ]]+Tabla5[[#This Row],[PUNTOS FACILIDAD IMPLEM. ]]+Tabla5[[#This Row],[PUNTOS IMPACTO ]],"")</f>
        <v>7260</v>
      </c>
      <c r="S107" s="54" t="s">
        <v>107</v>
      </c>
      <c r="T107" s="91" t="s">
        <v>79</v>
      </c>
      <c r="U107" s="91" t="s">
        <v>89</v>
      </c>
      <c r="V107" s="54" t="s">
        <v>263</v>
      </c>
      <c r="W107" s="54" t="s">
        <v>264</v>
      </c>
      <c r="X107" s="91" t="s">
        <v>265</v>
      </c>
      <c r="Y107" s="49" t="s">
        <v>77</v>
      </c>
    </row>
    <row r="108" spans="1:25" ht="41.4" x14ac:dyDescent="0.25">
      <c r="A108" s="47">
        <v>1035973354</v>
      </c>
      <c r="B108" s="53" t="s">
        <v>266</v>
      </c>
      <c r="C108" s="49">
        <v>7551</v>
      </c>
      <c r="D108" s="49" t="s">
        <v>54</v>
      </c>
      <c r="E108" s="49" t="s">
        <v>62</v>
      </c>
      <c r="F108" s="107">
        <v>10000000</v>
      </c>
      <c r="G108" s="49" t="s">
        <v>83</v>
      </c>
      <c r="H108" s="49" t="s">
        <v>78</v>
      </c>
      <c r="I108" s="50">
        <v>0</v>
      </c>
      <c r="J108" s="50">
        <v>0.05</v>
      </c>
      <c r="K108" s="50">
        <v>0</v>
      </c>
      <c r="L108" s="50">
        <v>0</v>
      </c>
      <c r="M108" s="50">
        <v>0</v>
      </c>
      <c r="N108" s="49">
        <f>IF(Tabla5[[#This Row],[VALOR INVERSIÓN]]="","",IF(Tabla5[[#This Row],[VALOR INVERSIÓN]]&lt;=10000000,100%*10%*22000,IF(AND(Tabla5[[#This Row],[VALOR INVERSIÓN]]&gt;10000000,Tabla5[[#This Row],[VALOR INVERSIÓN]]&lt;=20000000),60%*10%*22000,20%*10%*22000)))</f>
        <v>2200</v>
      </c>
      <c r="O108" s="49">
        <f>IF(Tabla5[[#This Row],[ROI (MESES)]]="","",IF(Tabla5[[#This Row],[ROI (MESES)]]="N/A","0",IF(Tabla5[[#This Row],[ROI (MESES)]]="&lt;=3",100%*10%*22000,IF(Tabla5[[#This Row],[ROI (MESES)]]="&gt;3&lt;=6",75%*10%*22000,25%*10%*22000))))</f>
        <v>550</v>
      </c>
      <c r="P108" s="49">
        <f>IF(Tabla5[[#This Row],[FACILIDAD IMPLEM.]]="","",IF(Tabla5[[#This Row],[FACILIDAD IMPLEM.]]="A",100%*10%*22000,IF(AND(Tabla5[[#This Row],[FACILIDAD IMPLEM.]]="B"),50%*10%*22000,20%*10%*22000)))</f>
        <v>1100</v>
      </c>
      <c r="Q108" s="49">
        <f>Tabla5[[#This Row],[IMPACTO AMBIENTAL (Máx. 25%)]]*70%*22000+Tabla5[[#This Row],[IMPACTO ECONÓMICO (Máx. 25%)]]*70%*22000+Tabla5[[#This Row],[IMPACTO SST (Máx. 20%)]]*70%*22000+Tabla5[[#This Row],[IMPACTO PRODUCTIVIDAD (Máx. 25%)]]*70%*22000+Tabla5[[#This Row],[IMPACTO ORDEN Y ASEO (Máx. 5%)]]*70%*22000</f>
        <v>769.99999999999989</v>
      </c>
      <c r="R108" s="49">
        <f>IFERROR(Tabla5[[#This Row],[PUNTOS VALOR INVERSIÓN]]+Tabla5[[#This Row],[PUNTOS ROI ]]+Tabla5[[#This Row],[PUNTOS FACILIDAD IMPLEM. ]]+Tabla5[[#This Row],[PUNTOS IMPACTO ]],"")</f>
        <v>4620</v>
      </c>
      <c r="S108" s="54"/>
      <c r="T108" s="91" t="s">
        <v>65</v>
      </c>
      <c r="U108" s="91" t="s">
        <v>110</v>
      </c>
      <c r="V108" s="54" t="s">
        <v>267</v>
      </c>
      <c r="W108" s="54" t="s">
        <v>268</v>
      </c>
      <c r="X108" s="91" t="s">
        <v>269</v>
      </c>
      <c r="Y108" s="49" t="s">
        <v>77</v>
      </c>
    </row>
    <row r="109" spans="1:25" hidden="1" x14ac:dyDescent="0.25">
      <c r="A109" s="47">
        <v>1013557593</v>
      </c>
      <c r="B109" s="53" t="s">
        <v>239</v>
      </c>
      <c r="C109" s="49">
        <v>7553</v>
      </c>
      <c r="D109" s="49" t="s">
        <v>218</v>
      </c>
      <c r="E109" s="49" t="s">
        <v>55</v>
      </c>
      <c r="F109" s="92"/>
      <c r="G109" s="49"/>
      <c r="H109" s="49"/>
      <c r="I109" s="50"/>
      <c r="J109" s="50"/>
      <c r="K109" s="50"/>
      <c r="L109" s="50"/>
      <c r="M109" s="50"/>
      <c r="N109" s="49" t="str">
        <f>IF(Tabla5[[#This Row],[VALOR INVERSIÓN]]="","",IF(Tabla5[[#This Row],[VALOR INVERSIÓN]]&lt;=10000000,100%*10%*22000,IF(AND(Tabla5[[#This Row],[VALOR INVERSIÓN]]&gt;10000000,Tabla5[[#This Row],[VALOR INVERSIÓN]]&lt;=20000000),60%*10%*22000,20%*10%*22000)))</f>
        <v/>
      </c>
      <c r="O109" s="49" t="str">
        <f>IF(Tabla5[[#This Row],[ROI (MESES)]]="","",IF(Tabla5[[#This Row],[ROI (MESES)]]="N/A","0",IF(Tabla5[[#This Row],[ROI (MESES)]]="&lt;=3",100%*10%*22000,IF(Tabla5[[#This Row],[ROI (MESES)]]="&gt;3&lt;=6",75%*10%*22000,25%*10%*22000))))</f>
        <v/>
      </c>
      <c r="P109" s="49" t="str">
        <f>IF(Tabla5[[#This Row],[FACILIDAD IMPLEM.]]="","",IF(Tabla5[[#This Row],[FACILIDAD IMPLEM.]]="A",100%*10%*22000,IF(AND(Tabla5[[#This Row],[FACILIDAD IMPLEM.]]="B"),50%*10%*22000,20%*10%*22000)))</f>
        <v/>
      </c>
      <c r="Q109" s="49">
        <f>Tabla5[[#This Row],[IMPACTO AMBIENTAL (Máx. 25%)]]*70%*22000+Tabla5[[#This Row],[IMPACTO ECONÓMICO (Máx. 25%)]]*70%*22000+Tabla5[[#This Row],[IMPACTO SST (Máx. 20%)]]*70%*22000+Tabla5[[#This Row],[IMPACTO PRODUCTIVIDAD (Máx. 25%)]]*70%*22000+Tabla5[[#This Row],[IMPACTO ORDEN Y ASEO (Máx. 5%)]]*70%*22000</f>
        <v>0</v>
      </c>
      <c r="R109" s="49" t="str">
        <f>IFERROR(Tabla5[[#This Row],[PUNTOS VALOR INVERSIÓN]]+Tabla5[[#This Row],[PUNTOS ROI ]]+Tabla5[[#This Row],[PUNTOS FACILIDAD IMPLEM. ]]+Tabla5[[#This Row],[PUNTOS IMPACTO ]],"")</f>
        <v/>
      </c>
      <c r="S109" s="54"/>
      <c r="T109" s="91"/>
      <c r="U109" s="91"/>
      <c r="V109" s="54"/>
      <c r="W109" s="54"/>
      <c r="X109" s="49"/>
      <c r="Y109" s="49"/>
    </row>
    <row r="110" spans="1:25" ht="27.6" x14ac:dyDescent="0.25">
      <c r="A110" s="47">
        <v>1035973354</v>
      </c>
      <c r="B110" s="53" t="s">
        <v>266</v>
      </c>
      <c r="C110" s="49">
        <v>7550</v>
      </c>
      <c r="D110" s="49" t="s">
        <v>54</v>
      </c>
      <c r="E110" s="49" t="s">
        <v>62</v>
      </c>
      <c r="F110" s="107">
        <v>1000000</v>
      </c>
      <c r="G110" s="49" t="s">
        <v>63</v>
      </c>
      <c r="H110" s="49" t="s">
        <v>78</v>
      </c>
      <c r="I110" s="50">
        <v>0</v>
      </c>
      <c r="J110" s="50">
        <v>7.0000000000000007E-2</v>
      </c>
      <c r="K110" s="50">
        <v>0</v>
      </c>
      <c r="L110" s="50">
        <v>0</v>
      </c>
      <c r="M110" s="50">
        <v>0</v>
      </c>
      <c r="N110" s="49">
        <f>IF(Tabla5[[#This Row],[VALOR INVERSIÓN]]="","",IF(Tabla5[[#This Row],[VALOR INVERSIÓN]]&lt;=10000000,100%*10%*22000,IF(AND(Tabla5[[#This Row],[VALOR INVERSIÓN]]&gt;10000000,Tabla5[[#This Row],[VALOR INVERSIÓN]]&lt;=20000000),60%*10%*22000,20%*10%*22000)))</f>
        <v>2200</v>
      </c>
      <c r="O110" s="49" t="str">
        <f>IF(Tabla5[[#This Row],[ROI (MESES)]]="","",IF(Tabla5[[#This Row],[ROI (MESES)]]="N/A","0",IF(Tabla5[[#This Row],[ROI (MESES)]]="&lt;=3",100%*10%*22000,IF(Tabla5[[#This Row],[ROI (MESES)]]="&gt;3&lt;=6",75%*10%*22000,25%*10%*22000))))</f>
        <v>0</v>
      </c>
      <c r="P110" s="49">
        <f>IF(Tabla5[[#This Row],[FACILIDAD IMPLEM.]]="","",IF(Tabla5[[#This Row],[FACILIDAD IMPLEM.]]="A",100%*10%*22000,IF(AND(Tabla5[[#This Row],[FACILIDAD IMPLEM.]]="B"),50%*10%*22000,20%*10%*22000)))</f>
        <v>1100</v>
      </c>
      <c r="Q110" s="49">
        <f>Tabla5[[#This Row],[IMPACTO AMBIENTAL (Máx. 25%)]]*70%*22000+Tabla5[[#This Row],[IMPACTO ECONÓMICO (Máx. 25%)]]*70%*22000+Tabla5[[#This Row],[IMPACTO SST (Máx. 20%)]]*70%*22000+Tabla5[[#This Row],[IMPACTO PRODUCTIVIDAD (Máx. 25%)]]*70%*22000+Tabla5[[#This Row],[IMPACTO ORDEN Y ASEO (Máx. 5%)]]*70%*22000</f>
        <v>1078</v>
      </c>
      <c r="R110" s="49">
        <f>IFERROR(Tabla5[[#This Row],[PUNTOS VALOR INVERSIÓN]]+Tabla5[[#This Row],[PUNTOS ROI ]]+Tabla5[[#This Row],[PUNTOS FACILIDAD IMPLEM. ]]+Tabla5[[#This Row],[PUNTOS IMPACTO ]],"")</f>
        <v>4378</v>
      </c>
      <c r="S110" s="54"/>
      <c r="T110" s="91" t="s">
        <v>65</v>
      </c>
      <c r="U110" s="91" t="s">
        <v>89</v>
      </c>
      <c r="V110" s="54" t="s">
        <v>270</v>
      </c>
      <c r="W110" s="54" t="s">
        <v>271</v>
      </c>
      <c r="X110" s="91" t="s">
        <v>265</v>
      </c>
      <c r="Y110" s="49" t="s">
        <v>77</v>
      </c>
    </row>
    <row r="111" spans="1:25" ht="27.6" hidden="1" x14ac:dyDescent="0.25">
      <c r="A111" s="47">
        <v>1036952208</v>
      </c>
      <c r="B111" s="53" t="s">
        <v>272</v>
      </c>
      <c r="C111" s="49">
        <v>7555</v>
      </c>
      <c r="D111" s="49" t="s">
        <v>218</v>
      </c>
      <c r="E111" s="49" t="s">
        <v>55</v>
      </c>
      <c r="F111" s="92"/>
      <c r="G111" s="49"/>
      <c r="H111" s="49"/>
      <c r="I111" s="50"/>
      <c r="J111" s="50"/>
      <c r="K111" s="50"/>
      <c r="L111" s="50"/>
      <c r="M111" s="50"/>
      <c r="N111" s="49" t="str">
        <f>IF(Tabla5[[#This Row],[VALOR INVERSIÓN]]="","",IF(Tabla5[[#This Row],[VALOR INVERSIÓN]]&lt;=10000000,100%*10%*22000,IF(AND(Tabla5[[#This Row],[VALOR INVERSIÓN]]&gt;10000000,Tabla5[[#This Row],[VALOR INVERSIÓN]]&lt;=20000000),60%*10%*22000,20%*10%*22000)))</f>
        <v/>
      </c>
      <c r="O111" s="49" t="str">
        <f>IF(Tabla5[[#This Row],[ROI (MESES)]]="","",IF(Tabla5[[#This Row],[ROI (MESES)]]="N/A","0",IF(Tabla5[[#This Row],[ROI (MESES)]]="&lt;=3",100%*10%*22000,IF(Tabla5[[#This Row],[ROI (MESES)]]="&gt;3&lt;=6",75%*10%*22000,25%*10%*22000))))</f>
        <v/>
      </c>
      <c r="P111" s="49" t="str">
        <f>IF(Tabla5[[#This Row],[FACILIDAD IMPLEM.]]="","",IF(Tabla5[[#This Row],[FACILIDAD IMPLEM.]]="A",100%*10%*22000,IF(AND(Tabla5[[#This Row],[FACILIDAD IMPLEM.]]="B"),50%*10%*22000,20%*10%*22000)))</f>
        <v/>
      </c>
      <c r="Q111" s="49">
        <f>Tabla5[[#This Row],[IMPACTO AMBIENTAL (Máx. 25%)]]*70%*22000+Tabla5[[#This Row],[IMPACTO ECONÓMICO (Máx. 25%)]]*70%*22000+Tabla5[[#This Row],[IMPACTO SST (Máx. 20%)]]*70%*22000+Tabla5[[#This Row],[IMPACTO PRODUCTIVIDAD (Máx. 25%)]]*70%*22000+Tabla5[[#This Row],[IMPACTO ORDEN Y ASEO (Máx. 5%)]]*70%*22000</f>
        <v>0</v>
      </c>
      <c r="R111" s="49" t="str">
        <f>IFERROR(Tabla5[[#This Row],[PUNTOS VALOR INVERSIÓN]]+Tabla5[[#This Row],[PUNTOS ROI ]]+Tabla5[[#This Row],[PUNTOS FACILIDAD IMPLEM. ]]+Tabla5[[#This Row],[PUNTOS IMPACTO ]],"")</f>
        <v/>
      </c>
      <c r="S111" s="54" t="s">
        <v>273</v>
      </c>
      <c r="T111" s="91"/>
      <c r="U111" s="91"/>
      <c r="V111" s="54"/>
      <c r="W111" s="54"/>
      <c r="X111" s="49"/>
      <c r="Y111" s="49"/>
    </row>
    <row r="112" spans="1:25" ht="41.4" x14ac:dyDescent="0.25">
      <c r="A112" s="47">
        <v>1001029657</v>
      </c>
      <c r="B112" s="53" t="s">
        <v>226</v>
      </c>
      <c r="C112" s="49">
        <v>7557</v>
      </c>
      <c r="D112" s="49" t="s">
        <v>54</v>
      </c>
      <c r="E112" s="49" t="s">
        <v>62</v>
      </c>
      <c r="F112" s="107">
        <v>5000000</v>
      </c>
      <c r="G112" s="49" t="s">
        <v>63</v>
      </c>
      <c r="H112" s="49" t="s">
        <v>73</v>
      </c>
      <c r="I112" s="50">
        <v>0</v>
      </c>
      <c r="J112" s="50">
        <v>0</v>
      </c>
      <c r="K112" s="50">
        <v>0.15</v>
      </c>
      <c r="L112" s="50">
        <v>7.0000000000000007E-2</v>
      </c>
      <c r="M112" s="50">
        <v>0.05</v>
      </c>
      <c r="N112" s="49">
        <f>IF(Tabla5[[#This Row],[VALOR INVERSIÓN]]="","",IF(Tabla5[[#This Row],[VALOR INVERSIÓN]]&lt;=10000000,100%*10%*22000,IF(AND(Tabla5[[#This Row],[VALOR INVERSIÓN]]&gt;10000000,Tabla5[[#This Row],[VALOR INVERSIÓN]]&lt;=20000000),60%*10%*22000,20%*10%*22000)))</f>
        <v>2200</v>
      </c>
      <c r="O112" s="49" t="str">
        <f>IF(Tabla5[[#This Row],[ROI (MESES)]]="","",IF(Tabla5[[#This Row],[ROI (MESES)]]="N/A","0",IF(Tabla5[[#This Row],[ROI (MESES)]]="&lt;=3",100%*10%*22000,IF(Tabla5[[#This Row],[ROI (MESES)]]="&gt;3&lt;=6",75%*10%*22000,25%*10%*22000))))</f>
        <v>0</v>
      </c>
      <c r="P112" s="49">
        <f>IF(Tabla5[[#This Row],[FACILIDAD IMPLEM.]]="","",IF(Tabla5[[#This Row],[FACILIDAD IMPLEM.]]="A",100%*10%*22000,IF(AND(Tabla5[[#This Row],[FACILIDAD IMPLEM.]]="B"),50%*10%*22000,20%*10%*22000)))</f>
        <v>2200</v>
      </c>
      <c r="Q112" s="49">
        <f>Tabla5[[#This Row],[IMPACTO AMBIENTAL (Máx. 25%)]]*70%*22000+Tabla5[[#This Row],[IMPACTO ECONÓMICO (Máx. 25%)]]*70%*22000+Tabla5[[#This Row],[IMPACTO SST (Máx. 20%)]]*70%*22000+Tabla5[[#This Row],[IMPACTO PRODUCTIVIDAD (Máx. 25%)]]*70%*22000+Tabla5[[#This Row],[IMPACTO ORDEN Y ASEO (Máx. 5%)]]*70%*22000</f>
        <v>4158</v>
      </c>
      <c r="R112" s="49">
        <f>IFERROR(Tabla5[[#This Row],[PUNTOS VALOR INVERSIÓN]]+Tabla5[[#This Row],[PUNTOS ROI ]]+Tabla5[[#This Row],[PUNTOS FACILIDAD IMPLEM. ]]+Tabla5[[#This Row],[PUNTOS IMPACTO ]],"")</f>
        <v>8558</v>
      </c>
      <c r="S112" s="54"/>
      <c r="T112" s="91" t="s">
        <v>94</v>
      </c>
      <c r="U112" s="91" t="s">
        <v>110</v>
      </c>
      <c r="V112" s="115" t="s">
        <v>274</v>
      </c>
      <c r="W112" s="116" t="s">
        <v>275</v>
      </c>
      <c r="X112" s="91" t="s">
        <v>55</v>
      </c>
      <c r="Y112" s="49" t="s">
        <v>55</v>
      </c>
    </row>
    <row r="113" spans="1:25" hidden="1" x14ac:dyDescent="0.25">
      <c r="A113" s="47">
        <v>4380403</v>
      </c>
      <c r="B113" s="53" t="s">
        <v>276</v>
      </c>
      <c r="C113" s="49">
        <v>7558</v>
      </c>
      <c r="D113" s="49" t="s">
        <v>218</v>
      </c>
      <c r="E113" s="49" t="s">
        <v>55</v>
      </c>
      <c r="F113" s="92"/>
      <c r="G113" s="49"/>
      <c r="H113" s="49"/>
      <c r="I113" s="50"/>
      <c r="J113" s="50"/>
      <c r="K113" s="50"/>
      <c r="L113" s="50"/>
      <c r="M113" s="50"/>
      <c r="N113" s="49" t="str">
        <f>IF(Tabla5[[#This Row],[VALOR INVERSIÓN]]="","",IF(Tabla5[[#This Row],[VALOR INVERSIÓN]]&lt;=10000000,100%*10%*22000,IF(AND(Tabla5[[#This Row],[VALOR INVERSIÓN]]&gt;10000000,Tabla5[[#This Row],[VALOR INVERSIÓN]]&lt;=20000000),60%*10%*22000,20%*10%*22000)))</f>
        <v/>
      </c>
      <c r="O113" s="49" t="str">
        <f>IF(Tabla5[[#This Row],[ROI (MESES)]]="","",IF(Tabla5[[#This Row],[ROI (MESES)]]="N/A","0",IF(Tabla5[[#This Row],[ROI (MESES)]]="&lt;=3",100%*10%*22000,IF(Tabla5[[#This Row],[ROI (MESES)]]="&gt;3&lt;=6",75%*10%*22000,25%*10%*22000))))</f>
        <v/>
      </c>
      <c r="P113" s="49" t="str">
        <f>IF(Tabla5[[#This Row],[FACILIDAD IMPLEM.]]="","",IF(Tabla5[[#This Row],[FACILIDAD IMPLEM.]]="A",100%*10%*22000,IF(AND(Tabla5[[#This Row],[FACILIDAD IMPLEM.]]="B"),50%*10%*22000,20%*10%*22000)))</f>
        <v/>
      </c>
      <c r="Q113" s="49">
        <f>Tabla5[[#This Row],[IMPACTO AMBIENTAL (Máx. 25%)]]*70%*22000+Tabla5[[#This Row],[IMPACTO ECONÓMICO (Máx. 25%)]]*70%*22000+Tabla5[[#This Row],[IMPACTO SST (Máx. 20%)]]*70%*22000+Tabla5[[#This Row],[IMPACTO PRODUCTIVIDAD (Máx. 25%)]]*70%*22000+Tabla5[[#This Row],[IMPACTO ORDEN Y ASEO (Máx. 5%)]]*70%*22000</f>
        <v>0</v>
      </c>
      <c r="R113" s="49" t="str">
        <f>IFERROR(Tabla5[[#This Row],[PUNTOS VALOR INVERSIÓN]]+Tabla5[[#This Row],[PUNTOS ROI ]]+Tabla5[[#This Row],[PUNTOS FACILIDAD IMPLEM. ]]+Tabla5[[#This Row],[PUNTOS IMPACTO ]],"")</f>
        <v/>
      </c>
      <c r="S113" s="54"/>
      <c r="T113" s="91"/>
      <c r="U113" s="91"/>
      <c r="V113" s="54"/>
      <c r="W113" s="54"/>
      <c r="X113" s="49"/>
      <c r="Y113" s="49"/>
    </row>
    <row r="114" spans="1:25" ht="3" hidden="1" customHeight="1" x14ac:dyDescent="0.25">
      <c r="A114" s="47">
        <v>43624356</v>
      </c>
      <c r="B114" s="53" t="s">
        <v>277</v>
      </c>
      <c r="C114" s="49">
        <v>7559</v>
      </c>
      <c r="D114" s="49" t="s">
        <v>278</v>
      </c>
      <c r="E114" s="49" t="s">
        <v>55</v>
      </c>
      <c r="F114" s="92"/>
      <c r="G114" s="49"/>
      <c r="H114" s="49"/>
      <c r="I114" s="50"/>
      <c r="J114" s="50"/>
      <c r="K114" s="50"/>
      <c r="L114" s="50"/>
      <c r="M114" s="50"/>
      <c r="N114" s="49" t="str">
        <f>IF(Tabla5[[#This Row],[VALOR INVERSIÓN]]="","",IF(Tabla5[[#This Row],[VALOR INVERSIÓN]]&lt;=10000000,100%*10%*22000,IF(AND(Tabla5[[#This Row],[VALOR INVERSIÓN]]&gt;10000000,Tabla5[[#This Row],[VALOR INVERSIÓN]]&lt;=20000000),60%*10%*22000,20%*10%*22000)))</f>
        <v/>
      </c>
      <c r="O114" s="49" t="str">
        <f>IF(Tabla5[[#This Row],[ROI (MESES)]]="","",IF(Tabla5[[#This Row],[ROI (MESES)]]="N/A","0",IF(Tabla5[[#This Row],[ROI (MESES)]]="&lt;=3",100%*10%*22000,IF(Tabla5[[#This Row],[ROI (MESES)]]="&gt;3&lt;=6",75%*10%*22000,25%*10%*22000))))</f>
        <v/>
      </c>
      <c r="P114" s="49" t="str">
        <f>IF(Tabla5[[#This Row],[FACILIDAD IMPLEM.]]="","",IF(Tabla5[[#This Row],[FACILIDAD IMPLEM.]]="A",100%*10%*22000,IF(AND(Tabla5[[#This Row],[FACILIDAD IMPLEM.]]="B"),50%*10%*22000,20%*10%*22000)))</f>
        <v/>
      </c>
      <c r="Q114" s="49">
        <f>Tabla5[[#This Row],[IMPACTO AMBIENTAL (Máx. 25%)]]*70%*22000+Tabla5[[#This Row],[IMPACTO ECONÓMICO (Máx. 25%)]]*70%*22000+Tabla5[[#This Row],[IMPACTO SST (Máx. 20%)]]*70%*22000+Tabla5[[#This Row],[IMPACTO PRODUCTIVIDAD (Máx. 25%)]]*70%*22000+Tabla5[[#This Row],[IMPACTO ORDEN Y ASEO (Máx. 5%)]]*70%*22000</f>
        <v>0</v>
      </c>
      <c r="R114" s="49" t="str">
        <f>IFERROR(Tabla5[[#This Row],[PUNTOS VALOR INVERSIÓN]]+Tabla5[[#This Row],[PUNTOS ROI ]]+Tabla5[[#This Row],[PUNTOS FACILIDAD IMPLEM. ]]+Tabla5[[#This Row],[PUNTOS IMPACTO ]],"")</f>
        <v/>
      </c>
      <c r="S114" s="54"/>
      <c r="T114" s="91"/>
      <c r="U114" s="91"/>
      <c r="V114" s="54"/>
      <c r="W114" s="54"/>
      <c r="X114" s="49"/>
      <c r="Y114" s="49"/>
    </row>
    <row r="115" spans="1:25" ht="27.6" x14ac:dyDescent="0.25">
      <c r="A115" s="47">
        <v>1017137958</v>
      </c>
      <c r="B115" s="53" t="s">
        <v>279</v>
      </c>
      <c r="C115" s="49">
        <v>7560</v>
      </c>
      <c r="D115" s="49" t="s">
        <v>278</v>
      </c>
      <c r="E115" s="49" t="s">
        <v>62</v>
      </c>
      <c r="F115" s="107">
        <v>0</v>
      </c>
      <c r="G115" s="49" t="s">
        <v>63</v>
      </c>
      <c r="H115" s="49" t="s">
        <v>73</v>
      </c>
      <c r="I115" s="50">
        <v>0</v>
      </c>
      <c r="J115" s="50">
        <v>0.03</v>
      </c>
      <c r="K115" s="50">
        <v>0</v>
      </c>
      <c r="L115" s="50">
        <v>0.04</v>
      </c>
      <c r="M115" s="50">
        <v>0.01</v>
      </c>
      <c r="N115" s="49">
        <f>IF(Tabla5[[#This Row],[VALOR INVERSIÓN]]="","",IF(Tabla5[[#This Row],[VALOR INVERSIÓN]]&lt;=10000000,100%*10%*22000,IF(AND(Tabla5[[#This Row],[VALOR INVERSIÓN]]&gt;10000000,Tabla5[[#This Row],[VALOR INVERSIÓN]]&lt;=20000000),60%*10%*22000,20%*10%*22000)))</f>
        <v>2200</v>
      </c>
      <c r="O115" s="49" t="str">
        <f>IF(Tabla5[[#This Row],[ROI (MESES)]]="","",IF(Tabla5[[#This Row],[ROI (MESES)]]="N/A","0",IF(Tabla5[[#This Row],[ROI (MESES)]]="&lt;=3",100%*10%*22000,IF(Tabla5[[#This Row],[ROI (MESES)]]="&gt;3&lt;=6",75%*10%*22000,25%*10%*22000))))</f>
        <v>0</v>
      </c>
      <c r="P115" s="49">
        <f>IF(Tabla5[[#This Row],[FACILIDAD IMPLEM.]]="","",IF(Tabla5[[#This Row],[FACILIDAD IMPLEM.]]="A",100%*10%*22000,IF(AND(Tabla5[[#This Row],[FACILIDAD IMPLEM.]]="B"),50%*10%*22000,20%*10%*22000)))</f>
        <v>2200</v>
      </c>
      <c r="Q115" s="49">
        <f>Tabla5[[#This Row],[IMPACTO AMBIENTAL (Máx. 25%)]]*70%*22000+Tabla5[[#This Row],[IMPACTO ECONÓMICO (Máx. 25%)]]*70%*22000+Tabla5[[#This Row],[IMPACTO SST (Máx. 20%)]]*70%*22000+Tabla5[[#This Row],[IMPACTO PRODUCTIVIDAD (Máx. 25%)]]*70%*22000+Tabla5[[#This Row],[IMPACTO ORDEN Y ASEO (Máx. 5%)]]*70%*22000</f>
        <v>1231.9999999999998</v>
      </c>
      <c r="R115" s="49">
        <f>IFERROR(Tabla5[[#This Row],[PUNTOS VALOR INVERSIÓN]]+Tabla5[[#This Row],[PUNTOS ROI ]]+Tabla5[[#This Row],[PUNTOS FACILIDAD IMPLEM. ]]+Tabla5[[#This Row],[PUNTOS IMPACTO ]],"")</f>
        <v>5632</v>
      </c>
      <c r="S115" s="54" t="s">
        <v>280</v>
      </c>
      <c r="T115" s="91" t="s">
        <v>94</v>
      </c>
      <c r="U115" s="91" t="s">
        <v>66</v>
      </c>
      <c r="V115" s="101" t="s">
        <v>281</v>
      </c>
      <c r="W115" s="54" t="s">
        <v>282</v>
      </c>
      <c r="X115" s="91" t="s">
        <v>283</v>
      </c>
      <c r="Y115" s="49" t="s">
        <v>105</v>
      </c>
    </row>
    <row r="116" spans="1:25" ht="27.6" x14ac:dyDescent="0.25">
      <c r="A116" s="47">
        <v>1035913725</v>
      </c>
      <c r="B116" s="53" t="s">
        <v>284</v>
      </c>
      <c r="C116" s="49">
        <v>7561</v>
      </c>
      <c r="D116" s="49" t="s">
        <v>278</v>
      </c>
      <c r="E116" s="49" t="s">
        <v>62</v>
      </c>
      <c r="F116" s="107">
        <v>0</v>
      </c>
      <c r="G116" s="49" t="s">
        <v>63</v>
      </c>
      <c r="H116" s="49" t="s">
        <v>78</v>
      </c>
      <c r="I116" s="50">
        <v>0</v>
      </c>
      <c r="J116" s="50">
        <v>0</v>
      </c>
      <c r="K116" s="50">
        <v>0</v>
      </c>
      <c r="L116" s="50">
        <v>0.04</v>
      </c>
      <c r="M116" s="50">
        <v>0.01</v>
      </c>
      <c r="N116" s="49">
        <f>IF(Tabla5[[#This Row],[VALOR INVERSIÓN]]="","",IF(Tabla5[[#This Row],[VALOR INVERSIÓN]]&lt;=10000000,100%*10%*22000,IF(AND(Tabla5[[#This Row],[VALOR INVERSIÓN]]&gt;10000000,Tabla5[[#This Row],[VALOR INVERSIÓN]]&lt;=20000000),60%*10%*22000,20%*10%*22000)))</f>
        <v>2200</v>
      </c>
      <c r="O116" s="49" t="str">
        <f>IF(Tabla5[[#This Row],[ROI (MESES)]]="","",IF(Tabla5[[#This Row],[ROI (MESES)]]="N/A","0",IF(Tabla5[[#This Row],[ROI (MESES)]]="&lt;=3",100%*10%*22000,IF(Tabla5[[#This Row],[ROI (MESES)]]="&gt;3&lt;=6",75%*10%*22000,25%*10%*22000))))</f>
        <v>0</v>
      </c>
      <c r="P116" s="49">
        <f>IF(Tabla5[[#This Row],[FACILIDAD IMPLEM.]]="","",IF(Tabla5[[#This Row],[FACILIDAD IMPLEM.]]="A",100%*10%*22000,IF(AND(Tabla5[[#This Row],[FACILIDAD IMPLEM.]]="B"),50%*10%*22000,20%*10%*22000)))</f>
        <v>1100</v>
      </c>
      <c r="Q116" s="49">
        <f>Tabla5[[#This Row],[IMPACTO AMBIENTAL (Máx. 25%)]]*70%*22000+Tabla5[[#This Row],[IMPACTO ECONÓMICO (Máx. 25%)]]*70%*22000+Tabla5[[#This Row],[IMPACTO SST (Máx. 20%)]]*70%*22000+Tabla5[[#This Row],[IMPACTO PRODUCTIVIDAD (Máx. 25%)]]*70%*22000+Tabla5[[#This Row],[IMPACTO ORDEN Y ASEO (Máx. 5%)]]*70%*22000</f>
        <v>769.99999999999989</v>
      </c>
      <c r="R116" s="49">
        <f>IFERROR(Tabla5[[#This Row],[PUNTOS VALOR INVERSIÓN]]+Tabla5[[#This Row],[PUNTOS ROI ]]+Tabla5[[#This Row],[PUNTOS FACILIDAD IMPLEM. ]]+Tabla5[[#This Row],[PUNTOS IMPACTO ]],"")</f>
        <v>4070</v>
      </c>
      <c r="S116" s="54" t="s">
        <v>285</v>
      </c>
      <c r="T116" s="91" t="s">
        <v>94</v>
      </c>
      <c r="U116" s="91" t="s">
        <v>84</v>
      </c>
      <c r="V116" s="54" t="s">
        <v>286</v>
      </c>
      <c r="W116" s="54" t="s">
        <v>287</v>
      </c>
      <c r="X116" s="91"/>
      <c r="Y116" s="49" t="s">
        <v>55</v>
      </c>
    </row>
    <row r="117" spans="1:25" ht="30" customHeight="1" x14ac:dyDescent="0.25">
      <c r="A117" s="47">
        <v>1001651966</v>
      </c>
      <c r="B117" s="53" t="s">
        <v>288</v>
      </c>
      <c r="C117" s="49">
        <v>7562</v>
      </c>
      <c r="D117" s="49" t="s">
        <v>218</v>
      </c>
      <c r="E117" s="49" t="s">
        <v>62</v>
      </c>
      <c r="F117" s="107">
        <v>0</v>
      </c>
      <c r="G117" s="49" t="s">
        <v>100</v>
      </c>
      <c r="H117" s="49" t="s">
        <v>73</v>
      </c>
      <c r="I117" s="50">
        <v>0</v>
      </c>
      <c r="J117" s="50">
        <v>0.2</v>
      </c>
      <c r="K117" s="50">
        <v>0</v>
      </c>
      <c r="L117" s="50">
        <v>0</v>
      </c>
      <c r="M117" s="50">
        <v>0</v>
      </c>
      <c r="N117" s="49">
        <f>IF(Tabla5[[#This Row],[VALOR INVERSIÓN]]="","",IF(Tabla5[[#This Row],[VALOR INVERSIÓN]]&lt;=10000000,100%*10%*22000,IF(AND(Tabla5[[#This Row],[VALOR INVERSIÓN]]&gt;10000000,Tabla5[[#This Row],[VALOR INVERSIÓN]]&lt;=20000000),60%*10%*22000,20%*10%*22000)))</f>
        <v>2200</v>
      </c>
      <c r="O117" s="49">
        <f>IF(Tabla5[[#This Row],[ROI (MESES)]]="","",IF(Tabla5[[#This Row],[ROI (MESES)]]="N/A","0",IF(Tabla5[[#This Row],[ROI (MESES)]]="&lt;=3",100%*10%*22000,IF(Tabla5[[#This Row],[ROI (MESES)]]="&gt;3&lt;=6",75%*10%*22000,25%*10%*22000))))</f>
        <v>2200</v>
      </c>
      <c r="P117" s="49">
        <f>IF(Tabla5[[#This Row],[FACILIDAD IMPLEM.]]="","",IF(Tabla5[[#This Row],[FACILIDAD IMPLEM.]]="A",100%*10%*22000,IF(AND(Tabla5[[#This Row],[FACILIDAD IMPLEM.]]="B"),50%*10%*22000,20%*10%*22000)))</f>
        <v>2200</v>
      </c>
      <c r="Q117" s="49">
        <f>Tabla5[[#This Row],[IMPACTO AMBIENTAL (Máx. 25%)]]*70%*22000+Tabla5[[#This Row],[IMPACTO ECONÓMICO (Máx. 25%)]]*70%*22000+Tabla5[[#This Row],[IMPACTO SST (Máx. 20%)]]*70%*22000+Tabla5[[#This Row],[IMPACTO PRODUCTIVIDAD (Máx. 25%)]]*70%*22000+Tabla5[[#This Row],[IMPACTO ORDEN Y ASEO (Máx. 5%)]]*70%*22000</f>
        <v>3079.9999999999995</v>
      </c>
      <c r="R117" s="49">
        <f>IFERROR(Tabla5[[#This Row],[PUNTOS VALOR INVERSIÓN]]+Tabla5[[#This Row],[PUNTOS ROI ]]+Tabla5[[#This Row],[PUNTOS FACILIDAD IMPLEM. ]]+Tabla5[[#This Row],[PUNTOS IMPACTO ]],"")</f>
        <v>9680</v>
      </c>
      <c r="S117" s="54"/>
      <c r="T117" s="91" t="s">
        <v>94</v>
      </c>
      <c r="U117" s="91" t="s">
        <v>89</v>
      </c>
      <c r="V117" s="54" t="s">
        <v>289</v>
      </c>
      <c r="W117" s="54" t="s">
        <v>290</v>
      </c>
      <c r="X117" s="91" t="s">
        <v>291</v>
      </c>
      <c r="Y117" s="49" t="s">
        <v>77</v>
      </c>
    </row>
    <row r="118" spans="1:25" ht="27.6" x14ac:dyDescent="0.25">
      <c r="A118" s="47">
        <v>1036252442</v>
      </c>
      <c r="B118" s="53" t="s">
        <v>292</v>
      </c>
      <c r="C118" s="49">
        <v>7564</v>
      </c>
      <c r="D118" s="49" t="s">
        <v>54</v>
      </c>
      <c r="E118" s="49" t="s">
        <v>62</v>
      </c>
      <c r="F118" s="107">
        <v>3000000</v>
      </c>
      <c r="G118" s="49" t="s">
        <v>63</v>
      </c>
      <c r="H118" s="49" t="s">
        <v>78</v>
      </c>
      <c r="I118" s="50">
        <v>0</v>
      </c>
      <c r="J118" s="50">
        <v>0</v>
      </c>
      <c r="K118" s="50">
        <v>0</v>
      </c>
      <c r="L118" s="50">
        <v>0</v>
      </c>
      <c r="M118" s="50">
        <v>0</v>
      </c>
      <c r="N118" s="49">
        <f>IF(Tabla5[[#This Row],[VALOR INVERSIÓN]]="","",IF(Tabla5[[#This Row],[VALOR INVERSIÓN]]&lt;=10000000,100%*10%*22000,IF(AND(Tabla5[[#This Row],[VALOR INVERSIÓN]]&gt;10000000,Tabla5[[#This Row],[VALOR INVERSIÓN]]&lt;=20000000),60%*10%*22000,20%*10%*22000)))</f>
        <v>2200</v>
      </c>
      <c r="O118" s="49" t="str">
        <f>IF(Tabla5[[#This Row],[ROI (MESES)]]="","",IF(Tabla5[[#This Row],[ROI (MESES)]]="N/A","0",IF(Tabla5[[#This Row],[ROI (MESES)]]="&lt;=3",100%*10%*22000,IF(Tabla5[[#This Row],[ROI (MESES)]]="&gt;3&lt;=6",75%*10%*22000,25%*10%*22000))))</f>
        <v>0</v>
      </c>
      <c r="P118" s="49">
        <f>IF(Tabla5[[#This Row],[FACILIDAD IMPLEM.]]="","",IF(Tabla5[[#This Row],[FACILIDAD IMPLEM.]]="A",100%*10%*22000,IF(AND(Tabla5[[#This Row],[FACILIDAD IMPLEM.]]="B"),50%*10%*22000,20%*10%*22000)))</f>
        <v>1100</v>
      </c>
      <c r="Q118" s="49">
        <f>Tabla5[[#This Row],[IMPACTO AMBIENTAL (Máx. 25%)]]*70%*22000+Tabla5[[#This Row],[IMPACTO ECONÓMICO (Máx. 25%)]]*70%*22000+Tabla5[[#This Row],[IMPACTO SST (Máx. 20%)]]*70%*22000+Tabla5[[#This Row],[IMPACTO PRODUCTIVIDAD (Máx. 25%)]]*70%*22000+Tabla5[[#This Row],[IMPACTO ORDEN Y ASEO (Máx. 5%)]]*70%*22000</f>
        <v>0</v>
      </c>
      <c r="R118" s="49">
        <f>IFERROR(Tabla5[[#This Row],[PUNTOS VALOR INVERSIÓN]]+Tabla5[[#This Row],[PUNTOS ROI ]]+Tabla5[[#This Row],[PUNTOS FACILIDAD IMPLEM. ]]+Tabla5[[#This Row],[PUNTOS IMPACTO ]],"")</f>
        <v>3300</v>
      </c>
      <c r="S118" s="54"/>
      <c r="T118" s="91" t="s">
        <v>65</v>
      </c>
      <c r="U118" s="91" t="s">
        <v>84</v>
      </c>
      <c r="V118" s="54" t="s">
        <v>293</v>
      </c>
      <c r="W118" s="54" t="s">
        <v>294</v>
      </c>
      <c r="X118" s="91"/>
      <c r="Y118" s="49" t="s">
        <v>55</v>
      </c>
    </row>
    <row r="119" spans="1:25" hidden="1" x14ac:dyDescent="0.25">
      <c r="A119" s="47">
        <v>71748038</v>
      </c>
      <c r="B119" s="53" t="s">
        <v>295</v>
      </c>
      <c r="C119" s="49">
        <v>7652</v>
      </c>
      <c r="D119" s="49" t="s">
        <v>54</v>
      </c>
      <c r="E119" s="49" t="s">
        <v>55</v>
      </c>
      <c r="F119" s="92"/>
      <c r="G119" s="49"/>
      <c r="H119" s="49"/>
      <c r="I119" s="50"/>
      <c r="J119" s="50"/>
      <c r="K119" s="50"/>
      <c r="L119" s="50"/>
      <c r="M119" s="50"/>
      <c r="N119" s="49" t="str">
        <f>IF(Tabla5[[#This Row],[VALOR INVERSIÓN]]="","",IF(Tabla5[[#This Row],[VALOR INVERSIÓN]]&lt;=10000000,100%*10%*22000,IF(AND(Tabla5[[#This Row],[VALOR INVERSIÓN]]&gt;10000000,Tabla5[[#This Row],[VALOR INVERSIÓN]]&lt;=20000000),60%*10%*22000,20%*10%*22000)))</f>
        <v/>
      </c>
      <c r="O119" s="49" t="str">
        <f>IF(Tabla5[[#This Row],[ROI (MESES)]]="","",IF(Tabla5[[#This Row],[ROI (MESES)]]="N/A","0",IF(Tabla5[[#This Row],[ROI (MESES)]]="&lt;=3",100%*10%*22000,IF(Tabla5[[#This Row],[ROI (MESES)]]="&gt;3&lt;=6",75%*10%*22000,25%*10%*22000))))</f>
        <v/>
      </c>
      <c r="P119" s="49" t="str">
        <f>IF(Tabla5[[#This Row],[FACILIDAD IMPLEM.]]="","",IF(Tabla5[[#This Row],[FACILIDAD IMPLEM.]]="A",100%*10%*22000,IF(AND(Tabla5[[#This Row],[FACILIDAD IMPLEM.]]="B"),50%*10%*22000,20%*10%*22000)))</f>
        <v/>
      </c>
      <c r="Q119" s="49">
        <f>Tabla5[[#This Row],[IMPACTO AMBIENTAL (Máx. 25%)]]*70%*22000+Tabla5[[#This Row],[IMPACTO ECONÓMICO (Máx. 25%)]]*70%*22000+Tabla5[[#This Row],[IMPACTO SST (Máx. 20%)]]*70%*22000+Tabla5[[#This Row],[IMPACTO PRODUCTIVIDAD (Máx. 25%)]]*70%*22000+Tabla5[[#This Row],[IMPACTO ORDEN Y ASEO (Máx. 5%)]]*70%*22000</f>
        <v>0</v>
      </c>
      <c r="R119" s="49" t="str">
        <f>IFERROR(Tabla5[[#This Row],[PUNTOS VALOR INVERSIÓN]]+Tabla5[[#This Row],[PUNTOS ROI ]]+Tabla5[[#This Row],[PUNTOS FACILIDAD IMPLEM. ]]+Tabla5[[#This Row],[PUNTOS IMPACTO ]],"")</f>
        <v/>
      </c>
      <c r="S119" s="54"/>
      <c r="T119" s="91"/>
      <c r="U119" s="91"/>
      <c r="V119" s="54"/>
      <c r="W119" s="54"/>
      <c r="X119" s="49"/>
      <c r="Y119" s="49"/>
    </row>
    <row r="120" spans="1:25" ht="27.6" x14ac:dyDescent="0.25">
      <c r="A120" s="47">
        <v>41942365</v>
      </c>
      <c r="B120" s="53" t="s">
        <v>296</v>
      </c>
      <c r="C120" s="49">
        <v>8064</v>
      </c>
      <c r="D120" s="49" t="s">
        <v>94</v>
      </c>
      <c r="E120" s="49" t="s">
        <v>62</v>
      </c>
      <c r="F120" s="107">
        <v>3000000</v>
      </c>
      <c r="G120" s="49" t="s">
        <v>100</v>
      </c>
      <c r="H120" s="49" t="s">
        <v>78</v>
      </c>
      <c r="I120" s="50">
        <v>0</v>
      </c>
      <c r="J120" s="50">
        <v>0.05</v>
      </c>
      <c r="K120" s="50">
        <v>0</v>
      </c>
      <c r="L120" s="50">
        <v>0.1</v>
      </c>
      <c r="M120" s="50">
        <v>0.01</v>
      </c>
      <c r="N120" s="49">
        <f>IF(Tabla5[[#This Row],[VALOR INVERSIÓN]]="","",IF(Tabla5[[#This Row],[VALOR INVERSIÓN]]&lt;=10000000,100%*10%*22000,IF(AND(Tabla5[[#This Row],[VALOR INVERSIÓN]]&gt;10000000,Tabla5[[#This Row],[VALOR INVERSIÓN]]&lt;=20000000),60%*10%*22000,20%*10%*22000)))</f>
        <v>2200</v>
      </c>
      <c r="O120" s="49">
        <f>IF(Tabla5[[#This Row],[ROI (MESES)]]="","",IF(Tabla5[[#This Row],[ROI (MESES)]]="N/A","0",IF(Tabla5[[#This Row],[ROI (MESES)]]="&lt;=3",100%*10%*22000,IF(Tabla5[[#This Row],[ROI (MESES)]]="&gt;3&lt;=6",75%*10%*22000,25%*10%*22000))))</f>
        <v>2200</v>
      </c>
      <c r="P120" s="49">
        <f>IF(Tabla5[[#This Row],[FACILIDAD IMPLEM.]]="","",IF(Tabla5[[#This Row],[FACILIDAD IMPLEM.]]="A",100%*10%*22000,IF(AND(Tabla5[[#This Row],[FACILIDAD IMPLEM.]]="B"),50%*10%*22000,20%*10%*22000)))</f>
        <v>1100</v>
      </c>
      <c r="Q120" s="49">
        <f>Tabla5[[#This Row],[IMPACTO AMBIENTAL (Máx. 25%)]]*70%*22000+Tabla5[[#This Row],[IMPACTO ECONÓMICO (Máx. 25%)]]*70%*22000+Tabla5[[#This Row],[IMPACTO SST (Máx. 20%)]]*70%*22000+Tabla5[[#This Row],[IMPACTO PRODUCTIVIDAD (Máx. 25%)]]*70%*22000+Tabla5[[#This Row],[IMPACTO ORDEN Y ASEO (Máx. 5%)]]*70%*22000</f>
        <v>2463.9999999999995</v>
      </c>
      <c r="R120" s="49">
        <f>IFERROR(Tabla5[[#This Row],[PUNTOS VALOR INVERSIÓN]]+Tabla5[[#This Row],[PUNTOS ROI ]]+Tabla5[[#This Row],[PUNTOS FACILIDAD IMPLEM. ]]+Tabla5[[#This Row],[PUNTOS IMPACTO ]],"")</f>
        <v>7964</v>
      </c>
      <c r="S120" s="54" t="s">
        <v>297</v>
      </c>
      <c r="T120" s="91" t="s">
        <v>94</v>
      </c>
      <c r="U120" s="91" t="s">
        <v>89</v>
      </c>
      <c r="V120" s="54" t="s">
        <v>298</v>
      </c>
      <c r="W120" s="54"/>
      <c r="X120" s="91" t="s">
        <v>299</v>
      </c>
      <c r="Y120" s="49" t="s">
        <v>105</v>
      </c>
    </row>
    <row r="121" spans="1:25" hidden="1" x14ac:dyDescent="0.25">
      <c r="A121" s="47">
        <v>1035973354</v>
      </c>
      <c r="B121" s="53" t="s">
        <v>266</v>
      </c>
      <c r="C121" s="49">
        <v>7689</v>
      </c>
      <c r="D121" s="49" t="s">
        <v>54</v>
      </c>
      <c r="E121" s="49" t="s">
        <v>55</v>
      </c>
      <c r="F121" s="92"/>
      <c r="G121" s="49"/>
      <c r="H121" s="49"/>
      <c r="I121" s="50"/>
      <c r="J121" s="50"/>
      <c r="K121" s="50"/>
      <c r="L121" s="50"/>
      <c r="M121" s="50"/>
      <c r="N121" s="49" t="str">
        <f>IF(Tabla5[[#This Row],[VALOR INVERSIÓN]]="","",IF(Tabla5[[#This Row],[VALOR INVERSIÓN]]&lt;=10000000,100%*10%*22000,IF(AND(Tabla5[[#This Row],[VALOR INVERSIÓN]]&gt;10000000,Tabla5[[#This Row],[VALOR INVERSIÓN]]&lt;=20000000),60%*10%*22000,20%*10%*22000)))</f>
        <v/>
      </c>
      <c r="O121" s="49" t="str">
        <f>IF(Tabla5[[#This Row],[ROI (MESES)]]="","",IF(Tabla5[[#This Row],[ROI (MESES)]]="N/A","0",IF(Tabla5[[#This Row],[ROI (MESES)]]="&lt;=3",100%*10%*22000,IF(Tabla5[[#This Row],[ROI (MESES)]]="&gt;3&lt;=6",75%*10%*22000,25%*10%*22000))))</f>
        <v/>
      </c>
      <c r="P121" s="49" t="str">
        <f>IF(Tabla5[[#This Row],[FACILIDAD IMPLEM.]]="","",IF(Tabla5[[#This Row],[FACILIDAD IMPLEM.]]="A",100%*10%*22000,IF(AND(Tabla5[[#This Row],[FACILIDAD IMPLEM.]]="B"),50%*10%*22000,20%*10%*22000)))</f>
        <v/>
      </c>
      <c r="Q121" s="49">
        <f>Tabla5[[#This Row],[IMPACTO AMBIENTAL (Máx. 25%)]]*70%*22000+Tabla5[[#This Row],[IMPACTO ECONÓMICO (Máx. 25%)]]*70%*22000+Tabla5[[#This Row],[IMPACTO SST (Máx. 20%)]]*70%*22000+Tabla5[[#This Row],[IMPACTO PRODUCTIVIDAD (Máx. 25%)]]*70%*22000+Tabla5[[#This Row],[IMPACTO ORDEN Y ASEO (Máx. 5%)]]*70%*22000</f>
        <v>0</v>
      </c>
      <c r="R121" s="49" t="str">
        <f>IFERROR(Tabla5[[#This Row],[PUNTOS VALOR INVERSIÓN]]+Tabla5[[#This Row],[PUNTOS ROI ]]+Tabla5[[#This Row],[PUNTOS FACILIDAD IMPLEM. ]]+Tabla5[[#This Row],[PUNTOS IMPACTO ]],"")</f>
        <v/>
      </c>
      <c r="S121" s="54"/>
      <c r="T121" s="91"/>
      <c r="U121" s="91"/>
      <c r="V121" s="54"/>
      <c r="W121" s="54"/>
      <c r="X121" s="49"/>
      <c r="Y121" s="49"/>
    </row>
    <row r="122" spans="1:25" ht="27.6" x14ac:dyDescent="0.25">
      <c r="A122" s="47">
        <v>1015276553</v>
      </c>
      <c r="B122" s="53" t="s">
        <v>207</v>
      </c>
      <c r="C122" s="49">
        <v>7758</v>
      </c>
      <c r="D122" s="49" t="s">
        <v>128</v>
      </c>
      <c r="E122" s="49" t="s">
        <v>62</v>
      </c>
      <c r="F122" s="107">
        <v>25000000</v>
      </c>
      <c r="G122" s="49" t="s">
        <v>83</v>
      </c>
      <c r="H122" s="49" t="s">
        <v>64</v>
      </c>
      <c r="I122" s="50">
        <v>0</v>
      </c>
      <c r="J122" s="50">
        <v>0.04</v>
      </c>
      <c r="K122" s="50">
        <v>0</v>
      </c>
      <c r="L122" s="50">
        <v>0</v>
      </c>
      <c r="M122" s="50">
        <v>0</v>
      </c>
      <c r="N122" s="49">
        <f>IF(Tabla5[[#This Row],[VALOR INVERSIÓN]]="","",IF(Tabla5[[#This Row],[VALOR INVERSIÓN]]&lt;=10000000,100%*10%*22000,IF(AND(Tabla5[[#This Row],[VALOR INVERSIÓN]]&gt;10000000,Tabla5[[#This Row],[VALOR INVERSIÓN]]&lt;=20000000),60%*10%*22000,20%*10%*22000)))</f>
        <v>440.00000000000011</v>
      </c>
      <c r="O122" s="49">
        <f>IF(Tabla5[[#This Row],[ROI (MESES)]]="","",IF(Tabla5[[#This Row],[ROI (MESES)]]="N/A","0",IF(Tabla5[[#This Row],[ROI (MESES)]]="&lt;=3",100%*10%*22000,IF(Tabla5[[#This Row],[ROI (MESES)]]="&gt;3&lt;=6",75%*10%*22000,25%*10%*22000))))</f>
        <v>550</v>
      </c>
      <c r="P122" s="49">
        <f>IF(Tabla5[[#This Row],[FACILIDAD IMPLEM.]]="","",IF(Tabla5[[#This Row],[FACILIDAD IMPLEM.]]="A",100%*10%*22000,IF(AND(Tabla5[[#This Row],[FACILIDAD IMPLEM.]]="B"),50%*10%*22000,20%*10%*22000)))</f>
        <v>440.00000000000011</v>
      </c>
      <c r="Q122" s="49">
        <f>Tabla5[[#This Row],[IMPACTO AMBIENTAL (Máx. 25%)]]*70%*22000+Tabla5[[#This Row],[IMPACTO ECONÓMICO (Máx. 25%)]]*70%*22000+Tabla5[[#This Row],[IMPACTO SST (Máx. 20%)]]*70%*22000+Tabla5[[#This Row],[IMPACTO PRODUCTIVIDAD (Máx. 25%)]]*70%*22000+Tabla5[[#This Row],[IMPACTO ORDEN Y ASEO (Máx. 5%)]]*70%*22000</f>
        <v>615.99999999999989</v>
      </c>
      <c r="R122" s="49">
        <f>IFERROR(Tabla5[[#This Row],[PUNTOS VALOR INVERSIÓN]]+Tabla5[[#This Row],[PUNTOS ROI ]]+Tabla5[[#This Row],[PUNTOS FACILIDAD IMPLEM. ]]+Tabla5[[#This Row],[PUNTOS IMPACTO ]],"")</f>
        <v>2046</v>
      </c>
      <c r="S122" s="54"/>
      <c r="T122" s="91" t="s">
        <v>94</v>
      </c>
      <c r="U122" s="91" t="s">
        <v>84</v>
      </c>
      <c r="V122" s="54" t="s">
        <v>300</v>
      </c>
      <c r="W122" s="54" t="s">
        <v>301</v>
      </c>
      <c r="X122" s="91"/>
      <c r="Y122" s="49" t="s">
        <v>55</v>
      </c>
    </row>
    <row r="123" spans="1:25" hidden="1" x14ac:dyDescent="0.25">
      <c r="A123" s="47">
        <v>1110570952</v>
      </c>
      <c r="B123" s="53" t="s">
        <v>70</v>
      </c>
      <c r="C123" s="49">
        <v>7759</v>
      </c>
      <c r="D123" s="49" t="s">
        <v>54</v>
      </c>
      <c r="E123" s="49" t="s">
        <v>55</v>
      </c>
      <c r="F123" s="92"/>
      <c r="G123" s="49"/>
      <c r="H123" s="49"/>
      <c r="I123" s="50"/>
      <c r="J123" s="50"/>
      <c r="K123" s="50"/>
      <c r="L123" s="50"/>
      <c r="M123" s="50"/>
      <c r="N123" s="49" t="str">
        <f>IF(Tabla5[[#This Row],[VALOR INVERSIÓN]]="","",IF(Tabla5[[#This Row],[VALOR INVERSIÓN]]&lt;=10000000,100%*10%*22000,IF(AND(Tabla5[[#This Row],[VALOR INVERSIÓN]]&gt;10000000,Tabla5[[#This Row],[VALOR INVERSIÓN]]&lt;=20000000),60%*10%*22000,20%*10%*22000)))</f>
        <v/>
      </c>
      <c r="O123" s="49" t="str">
        <f>IF(Tabla5[[#This Row],[ROI (MESES)]]="","",IF(Tabla5[[#This Row],[ROI (MESES)]]="N/A","0",IF(Tabla5[[#This Row],[ROI (MESES)]]="&lt;=3",100%*10%*22000,IF(Tabla5[[#This Row],[ROI (MESES)]]="&gt;3&lt;=6",75%*10%*22000,25%*10%*22000))))</f>
        <v/>
      </c>
      <c r="P123" s="49" t="str">
        <f>IF(Tabla5[[#This Row],[FACILIDAD IMPLEM.]]="","",IF(Tabla5[[#This Row],[FACILIDAD IMPLEM.]]="A",100%*10%*22000,IF(AND(Tabla5[[#This Row],[FACILIDAD IMPLEM.]]="B"),50%*10%*22000,20%*10%*22000)))</f>
        <v/>
      </c>
      <c r="Q123" s="49">
        <f>Tabla5[[#This Row],[IMPACTO AMBIENTAL (Máx. 25%)]]*70%*22000+Tabla5[[#This Row],[IMPACTO ECONÓMICO (Máx. 25%)]]*70%*22000+Tabla5[[#This Row],[IMPACTO SST (Máx. 20%)]]*70%*22000+Tabla5[[#This Row],[IMPACTO PRODUCTIVIDAD (Máx. 25%)]]*70%*22000+Tabla5[[#This Row],[IMPACTO ORDEN Y ASEO (Máx. 5%)]]*70%*22000</f>
        <v>0</v>
      </c>
      <c r="R123" s="49" t="str">
        <f>IFERROR(Tabla5[[#This Row],[PUNTOS VALOR INVERSIÓN]]+Tabla5[[#This Row],[PUNTOS ROI ]]+Tabla5[[#This Row],[PUNTOS FACILIDAD IMPLEM. ]]+Tabla5[[#This Row],[PUNTOS IMPACTO ]],"")</f>
        <v/>
      </c>
      <c r="S123" s="54"/>
      <c r="T123" s="91"/>
      <c r="U123" s="91"/>
      <c r="V123" s="54"/>
      <c r="W123" s="54"/>
      <c r="X123" s="49"/>
      <c r="Y123" s="49"/>
    </row>
    <row r="124" spans="1:25" hidden="1" x14ac:dyDescent="0.25">
      <c r="A124" s="47">
        <v>1110570952</v>
      </c>
      <c r="B124" s="53" t="s">
        <v>70</v>
      </c>
      <c r="C124" s="49">
        <v>7760</v>
      </c>
      <c r="D124" s="49" t="s">
        <v>54</v>
      </c>
      <c r="E124" s="49" t="s">
        <v>55</v>
      </c>
      <c r="F124" s="92"/>
      <c r="G124" s="49"/>
      <c r="H124" s="49"/>
      <c r="I124" s="50"/>
      <c r="J124" s="50"/>
      <c r="K124" s="50"/>
      <c r="L124" s="50"/>
      <c r="M124" s="50"/>
      <c r="N124" s="49" t="str">
        <f>IF(Tabla5[[#This Row],[VALOR INVERSIÓN]]="","",IF(Tabla5[[#This Row],[VALOR INVERSIÓN]]&lt;=10000000,100%*10%*22000,IF(AND(Tabla5[[#This Row],[VALOR INVERSIÓN]]&gt;10000000,Tabla5[[#This Row],[VALOR INVERSIÓN]]&lt;=20000000),60%*10%*22000,20%*10%*22000)))</f>
        <v/>
      </c>
      <c r="O124" s="49" t="str">
        <f>IF(Tabla5[[#This Row],[ROI (MESES)]]="","",IF(Tabla5[[#This Row],[ROI (MESES)]]="N/A","0",IF(Tabla5[[#This Row],[ROI (MESES)]]="&lt;=3",100%*10%*22000,IF(Tabla5[[#This Row],[ROI (MESES)]]="&gt;3&lt;=6",75%*10%*22000,25%*10%*22000))))</f>
        <v/>
      </c>
      <c r="P124" s="49" t="str">
        <f>IF(Tabla5[[#This Row],[FACILIDAD IMPLEM.]]="","",IF(Tabla5[[#This Row],[FACILIDAD IMPLEM.]]="A",100%*10%*22000,IF(AND(Tabla5[[#This Row],[FACILIDAD IMPLEM.]]="B"),50%*10%*22000,20%*10%*22000)))</f>
        <v/>
      </c>
      <c r="Q124" s="49">
        <f>Tabla5[[#This Row],[IMPACTO AMBIENTAL (Máx. 25%)]]*70%*22000+Tabla5[[#This Row],[IMPACTO ECONÓMICO (Máx. 25%)]]*70%*22000+Tabla5[[#This Row],[IMPACTO SST (Máx. 20%)]]*70%*22000+Tabla5[[#This Row],[IMPACTO PRODUCTIVIDAD (Máx. 25%)]]*70%*22000+Tabla5[[#This Row],[IMPACTO ORDEN Y ASEO (Máx. 5%)]]*70%*22000</f>
        <v>0</v>
      </c>
      <c r="R124" s="49" t="str">
        <f>IFERROR(Tabla5[[#This Row],[PUNTOS VALOR INVERSIÓN]]+Tabla5[[#This Row],[PUNTOS ROI ]]+Tabla5[[#This Row],[PUNTOS FACILIDAD IMPLEM. ]]+Tabla5[[#This Row],[PUNTOS IMPACTO ]],"")</f>
        <v/>
      </c>
      <c r="S124" s="54"/>
      <c r="T124" s="91"/>
      <c r="U124" s="91"/>
      <c r="V124" s="54"/>
      <c r="W124" s="54"/>
      <c r="X124" s="49"/>
      <c r="Y124" s="49"/>
    </row>
    <row r="125" spans="1:25" ht="76.5" customHeight="1" x14ac:dyDescent="0.25">
      <c r="A125" s="47">
        <v>8356286</v>
      </c>
      <c r="B125" s="53" t="s">
        <v>302</v>
      </c>
      <c r="C125" s="49">
        <v>7761</v>
      </c>
      <c r="D125" s="49" t="s">
        <v>72</v>
      </c>
      <c r="E125" s="49" t="s">
        <v>62</v>
      </c>
      <c r="F125" s="107">
        <v>50000000</v>
      </c>
      <c r="G125" s="49" t="s">
        <v>83</v>
      </c>
      <c r="H125" s="49" t="s">
        <v>64</v>
      </c>
      <c r="I125" s="50">
        <v>0.1</v>
      </c>
      <c r="J125" s="50">
        <v>0.05</v>
      </c>
      <c r="K125" s="50">
        <v>0.1</v>
      </c>
      <c r="L125" s="50">
        <v>0</v>
      </c>
      <c r="M125" s="50">
        <v>0</v>
      </c>
      <c r="N125" s="49">
        <f>IF(Tabla5[[#This Row],[VALOR INVERSIÓN]]="","",IF(Tabla5[[#This Row],[VALOR INVERSIÓN]]&lt;=10000000,100%*10%*22000,IF(AND(Tabla5[[#This Row],[VALOR INVERSIÓN]]&gt;10000000,Tabla5[[#This Row],[VALOR INVERSIÓN]]&lt;=20000000),60%*10%*22000,20%*10%*22000)))</f>
        <v>440.00000000000011</v>
      </c>
      <c r="O125" s="49">
        <f>IF(Tabla5[[#This Row],[ROI (MESES)]]="","",IF(Tabla5[[#This Row],[ROI (MESES)]]="N/A","0",IF(Tabla5[[#This Row],[ROI (MESES)]]="&lt;=3",100%*10%*22000,IF(Tabla5[[#This Row],[ROI (MESES)]]="&gt;3&lt;=6",75%*10%*22000,25%*10%*22000))))</f>
        <v>550</v>
      </c>
      <c r="P125" s="49">
        <f>IF(Tabla5[[#This Row],[FACILIDAD IMPLEM.]]="","",IF(Tabla5[[#This Row],[FACILIDAD IMPLEM.]]="A",100%*10%*22000,IF(AND(Tabla5[[#This Row],[FACILIDAD IMPLEM.]]="B"),50%*10%*22000,20%*10%*22000)))</f>
        <v>440.00000000000011</v>
      </c>
      <c r="Q125" s="49">
        <f>Tabla5[[#This Row],[IMPACTO AMBIENTAL (Máx. 25%)]]*70%*22000+Tabla5[[#This Row],[IMPACTO ECONÓMICO (Máx. 25%)]]*70%*22000+Tabla5[[#This Row],[IMPACTO SST (Máx. 20%)]]*70%*22000+Tabla5[[#This Row],[IMPACTO PRODUCTIVIDAD (Máx. 25%)]]*70%*22000+Tabla5[[#This Row],[IMPACTO ORDEN Y ASEO (Máx. 5%)]]*70%*22000</f>
        <v>3849.9999999999991</v>
      </c>
      <c r="R125" s="49">
        <f>IFERROR(Tabla5[[#This Row],[PUNTOS VALOR INVERSIÓN]]+Tabla5[[#This Row],[PUNTOS ROI ]]+Tabla5[[#This Row],[PUNTOS FACILIDAD IMPLEM. ]]+Tabla5[[#This Row],[PUNTOS IMPACTO ]],"")</f>
        <v>5279.9999999999991</v>
      </c>
      <c r="S125" s="54"/>
      <c r="T125" s="91" t="s">
        <v>65</v>
      </c>
      <c r="U125" s="91" t="s">
        <v>66</v>
      </c>
      <c r="V125" s="54" t="s">
        <v>303</v>
      </c>
      <c r="W125" s="54" t="s">
        <v>304</v>
      </c>
      <c r="X125" s="91" t="s">
        <v>69</v>
      </c>
      <c r="Y125" s="49" t="s">
        <v>55</v>
      </c>
    </row>
    <row r="126" spans="1:25" ht="27.6" hidden="1" x14ac:dyDescent="0.25">
      <c r="A126" s="47">
        <v>8356286</v>
      </c>
      <c r="B126" s="53" t="s">
        <v>302</v>
      </c>
      <c r="C126" s="49">
        <v>7762</v>
      </c>
      <c r="D126" s="49" t="s">
        <v>72</v>
      </c>
      <c r="E126" s="49" t="s">
        <v>55</v>
      </c>
      <c r="F126" s="92"/>
      <c r="G126" s="49"/>
      <c r="H126" s="49"/>
      <c r="I126" s="50"/>
      <c r="J126" s="50"/>
      <c r="K126" s="50"/>
      <c r="L126" s="50"/>
      <c r="M126" s="50"/>
      <c r="N126" s="49" t="str">
        <f>IF(Tabla5[[#This Row],[VALOR INVERSIÓN]]="","",IF(Tabla5[[#This Row],[VALOR INVERSIÓN]]&lt;=10000000,100%*10%*22000,IF(AND(Tabla5[[#This Row],[VALOR INVERSIÓN]]&gt;10000000,Tabla5[[#This Row],[VALOR INVERSIÓN]]&lt;=20000000),60%*10%*22000,20%*10%*22000)))</f>
        <v/>
      </c>
      <c r="O126" s="49" t="str">
        <f>IF(Tabla5[[#This Row],[ROI (MESES)]]="","",IF(Tabla5[[#This Row],[ROI (MESES)]]="N/A","0",IF(Tabla5[[#This Row],[ROI (MESES)]]="&lt;=3",100%*10%*22000,IF(Tabla5[[#This Row],[ROI (MESES)]]="&gt;3&lt;=6",75%*10%*22000,25%*10%*22000))))</f>
        <v/>
      </c>
      <c r="P126" s="49" t="str">
        <f>IF(Tabla5[[#This Row],[FACILIDAD IMPLEM.]]="","",IF(Tabla5[[#This Row],[FACILIDAD IMPLEM.]]="A",100%*10%*22000,IF(AND(Tabla5[[#This Row],[FACILIDAD IMPLEM.]]="B"),50%*10%*22000,20%*10%*22000)))</f>
        <v/>
      </c>
      <c r="Q126" s="49">
        <f>Tabla5[[#This Row],[IMPACTO AMBIENTAL (Máx. 25%)]]*70%*22000+Tabla5[[#This Row],[IMPACTO ECONÓMICO (Máx. 25%)]]*70%*22000+Tabla5[[#This Row],[IMPACTO SST (Máx. 20%)]]*70%*22000+Tabla5[[#This Row],[IMPACTO PRODUCTIVIDAD (Máx. 25%)]]*70%*22000+Tabla5[[#This Row],[IMPACTO ORDEN Y ASEO (Máx. 5%)]]*70%*22000</f>
        <v>0</v>
      </c>
      <c r="R126" s="49" t="str">
        <f>IFERROR(Tabla5[[#This Row],[PUNTOS VALOR INVERSIÓN]]+Tabla5[[#This Row],[PUNTOS ROI ]]+Tabla5[[#This Row],[PUNTOS FACILIDAD IMPLEM. ]]+Tabla5[[#This Row],[PUNTOS IMPACTO ]],"")</f>
        <v/>
      </c>
      <c r="S126" s="54" t="s">
        <v>305</v>
      </c>
      <c r="T126" s="91"/>
      <c r="U126" s="91"/>
      <c r="V126" s="54"/>
      <c r="W126" s="54"/>
      <c r="X126" s="49"/>
      <c r="Y126" s="49"/>
    </row>
    <row r="127" spans="1:25" hidden="1" x14ac:dyDescent="0.25">
      <c r="A127" s="47">
        <v>8356286</v>
      </c>
      <c r="B127" s="53" t="s">
        <v>302</v>
      </c>
      <c r="C127" s="49">
        <v>7763</v>
      </c>
      <c r="D127" s="49" t="s">
        <v>72</v>
      </c>
      <c r="E127" s="49" t="s">
        <v>55</v>
      </c>
      <c r="F127" s="92"/>
      <c r="G127" s="49"/>
      <c r="H127" s="49"/>
      <c r="I127" s="50"/>
      <c r="J127" s="50"/>
      <c r="K127" s="50"/>
      <c r="L127" s="50"/>
      <c r="M127" s="50"/>
      <c r="N127" s="49" t="str">
        <f>IF(Tabla5[[#This Row],[VALOR INVERSIÓN]]="","",IF(Tabla5[[#This Row],[VALOR INVERSIÓN]]&lt;=10000000,100%*10%*22000,IF(AND(Tabla5[[#This Row],[VALOR INVERSIÓN]]&gt;10000000,Tabla5[[#This Row],[VALOR INVERSIÓN]]&lt;=20000000),60%*10%*22000,20%*10%*22000)))</f>
        <v/>
      </c>
      <c r="O127" s="49" t="str">
        <f>IF(Tabla5[[#This Row],[ROI (MESES)]]="","",IF(Tabla5[[#This Row],[ROI (MESES)]]="N/A","0",IF(Tabla5[[#This Row],[ROI (MESES)]]="&lt;=3",100%*10%*22000,IF(Tabla5[[#This Row],[ROI (MESES)]]="&gt;3&lt;=6",75%*10%*22000,25%*10%*22000))))</f>
        <v/>
      </c>
      <c r="P127" s="49" t="str">
        <f>IF(Tabla5[[#This Row],[FACILIDAD IMPLEM.]]="","",IF(Tabla5[[#This Row],[FACILIDAD IMPLEM.]]="A",100%*10%*22000,IF(AND(Tabla5[[#This Row],[FACILIDAD IMPLEM.]]="B"),50%*10%*22000,20%*10%*22000)))</f>
        <v/>
      </c>
      <c r="Q127" s="49">
        <f>Tabla5[[#This Row],[IMPACTO AMBIENTAL (Máx. 25%)]]*70%*22000+Tabla5[[#This Row],[IMPACTO ECONÓMICO (Máx. 25%)]]*70%*22000+Tabla5[[#This Row],[IMPACTO SST (Máx. 20%)]]*70%*22000+Tabla5[[#This Row],[IMPACTO PRODUCTIVIDAD (Máx. 25%)]]*70%*22000+Tabla5[[#This Row],[IMPACTO ORDEN Y ASEO (Máx. 5%)]]*70%*22000</f>
        <v>0</v>
      </c>
      <c r="R127" s="49" t="str">
        <f>IFERROR(Tabla5[[#This Row],[PUNTOS VALOR INVERSIÓN]]+Tabla5[[#This Row],[PUNTOS ROI ]]+Tabla5[[#This Row],[PUNTOS FACILIDAD IMPLEM. ]]+Tabla5[[#This Row],[PUNTOS IMPACTO ]],"")</f>
        <v/>
      </c>
      <c r="S127" s="54"/>
      <c r="T127" s="91"/>
      <c r="U127" s="91"/>
      <c r="V127" s="54"/>
      <c r="W127" s="54"/>
      <c r="X127" s="49"/>
      <c r="Y127" s="49"/>
    </row>
    <row r="128" spans="1:25" hidden="1" x14ac:dyDescent="0.25">
      <c r="A128" s="47">
        <v>71801338</v>
      </c>
      <c r="B128" s="53" t="s">
        <v>209</v>
      </c>
      <c r="C128" s="49">
        <v>7775</v>
      </c>
      <c r="D128" s="49" t="s">
        <v>54</v>
      </c>
      <c r="E128" s="49" t="s">
        <v>55</v>
      </c>
      <c r="F128" s="92"/>
      <c r="G128" s="49"/>
      <c r="H128" s="49"/>
      <c r="I128" s="50"/>
      <c r="J128" s="50"/>
      <c r="K128" s="50"/>
      <c r="L128" s="50"/>
      <c r="M128" s="50"/>
      <c r="N128" s="49" t="str">
        <f>IF(Tabla5[[#This Row],[VALOR INVERSIÓN]]="","",IF(Tabla5[[#This Row],[VALOR INVERSIÓN]]&lt;=10000000,100%*10%*22000,IF(AND(Tabla5[[#This Row],[VALOR INVERSIÓN]]&gt;10000000,Tabla5[[#This Row],[VALOR INVERSIÓN]]&lt;=20000000),60%*10%*22000,20%*10%*22000)))</f>
        <v/>
      </c>
      <c r="O128" s="49" t="str">
        <f>IF(Tabla5[[#This Row],[ROI (MESES)]]="","",IF(Tabla5[[#This Row],[ROI (MESES)]]="N/A","0",IF(Tabla5[[#This Row],[ROI (MESES)]]="&lt;=3",100%*10%*22000,IF(Tabla5[[#This Row],[ROI (MESES)]]="&gt;3&lt;=6",75%*10%*22000,25%*10%*22000))))</f>
        <v/>
      </c>
      <c r="P128" s="49" t="str">
        <f>IF(Tabla5[[#This Row],[FACILIDAD IMPLEM.]]="","",IF(Tabla5[[#This Row],[FACILIDAD IMPLEM.]]="A",100%*10%*22000,IF(AND(Tabla5[[#This Row],[FACILIDAD IMPLEM.]]="B"),50%*10%*22000,20%*10%*22000)))</f>
        <v/>
      </c>
      <c r="Q128" s="49">
        <f>Tabla5[[#This Row],[IMPACTO AMBIENTAL (Máx. 25%)]]*70%*22000+Tabla5[[#This Row],[IMPACTO ECONÓMICO (Máx. 25%)]]*70%*22000+Tabla5[[#This Row],[IMPACTO SST (Máx. 20%)]]*70%*22000+Tabla5[[#This Row],[IMPACTO PRODUCTIVIDAD (Máx. 25%)]]*70%*22000+Tabla5[[#This Row],[IMPACTO ORDEN Y ASEO (Máx. 5%)]]*70%*22000</f>
        <v>0</v>
      </c>
      <c r="R128" s="49" t="str">
        <f>IFERROR(Tabla5[[#This Row],[PUNTOS VALOR INVERSIÓN]]+Tabla5[[#This Row],[PUNTOS ROI ]]+Tabla5[[#This Row],[PUNTOS FACILIDAD IMPLEM. ]]+Tabla5[[#This Row],[PUNTOS IMPACTO ]],"")</f>
        <v/>
      </c>
      <c r="S128" s="54" t="s">
        <v>306</v>
      </c>
      <c r="T128" s="91"/>
      <c r="U128" s="91"/>
      <c r="V128" s="54"/>
      <c r="W128" s="54"/>
      <c r="X128" s="49"/>
      <c r="Y128" s="49"/>
    </row>
    <row r="129" spans="1:25" hidden="1" x14ac:dyDescent="0.25">
      <c r="A129" s="47">
        <v>71712784</v>
      </c>
      <c r="B129" s="53" t="s">
        <v>307</v>
      </c>
      <c r="C129" s="49">
        <v>7921</v>
      </c>
      <c r="D129" s="49" t="s">
        <v>54</v>
      </c>
      <c r="E129" s="49" t="s">
        <v>55</v>
      </c>
      <c r="F129" s="92"/>
      <c r="G129" s="49"/>
      <c r="H129" s="49"/>
      <c r="I129" s="50"/>
      <c r="J129" s="50"/>
      <c r="K129" s="50"/>
      <c r="L129" s="50"/>
      <c r="M129" s="50"/>
      <c r="N129" s="49" t="str">
        <f>IF(Tabla5[[#This Row],[VALOR INVERSIÓN]]="","",IF(Tabla5[[#This Row],[VALOR INVERSIÓN]]&lt;=10000000,100%*10%*22000,IF(AND(Tabla5[[#This Row],[VALOR INVERSIÓN]]&gt;10000000,Tabla5[[#This Row],[VALOR INVERSIÓN]]&lt;=20000000),60%*10%*22000,20%*10%*22000)))</f>
        <v/>
      </c>
      <c r="O129" s="49" t="str">
        <f>IF(Tabla5[[#This Row],[ROI (MESES)]]="","",IF(Tabla5[[#This Row],[ROI (MESES)]]="N/A","0",IF(Tabla5[[#This Row],[ROI (MESES)]]="&lt;=3",100%*10%*22000,IF(Tabla5[[#This Row],[ROI (MESES)]]="&gt;3&lt;=6",75%*10%*22000,25%*10%*22000))))</f>
        <v/>
      </c>
      <c r="P129" s="49" t="str">
        <f>IF(Tabla5[[#This Row],[FACILIDAD IMPLEM.]]="","",IF(Tabla5[[#This Row],[FACILIDAD IMPLEM.]]="A",100%*10%*22000,IF(AND(Tabla5[[#This Row],[FACILIDAD IMPLEM.]]="B"),50%*10%*22000,20%*10%*22000)))</f>
        <v/>
      </c>
      <c r="Q129" s="49">
        <f>Tabla5[[#This Row],[IMPACTO AMBIENTAL (Máx. 25%)]]*70%*22000+Tabla5[[#This Row],[IMPACTO ECONÓMICO (Máx. 25%)]]*70%*22000+Tabla5[[#This Row],[IMPACTO SST (Máx. 20%)]]*70%*22000+Tabla5[[#This Row],[IMPACTO PRODUCTIVIDAD (Máx. 25%)]]*70%*22000+Tabla5[[#This Row],[IMPACTO ORDEN Y ASEO (Máx. 5%)]]*70%*22000</f>
        <v>0</v>
      </c>
      <c r="R129" s="49" t="str">
        <f>IFERROR(Tabla5[[#This Row],[PUNTOS VALOR INVERSIÓN]]+Tabla5[[#This Row],[PUNTOS ROI ]]+Tabla5[[#This Row],[PUNTOS FACILIDAD IMPLEM. ]]+Tabla5[[#This Row],[PUNTOS IMPACTO ]],"")</f>
        <v/>
      </c>
      <c r="S129" s="54"/>
      <c r="T129" s="91"/>
      <c r="U129" s="91"/>
      <c r="V129" s="54"/>
      <c r="W129" s="54"/>
      <c r="X129" s="49"/>
      <c r="Y129" s="49"/>
    </row>
    <row r="130" spans="1:25" ht="23.25" customHeight="1" x14ac:dyDescent="0.25">
      <c r="A130" s="47">
        <v>8773558</v>
      </c>
      <c r="B130" s="53" t="s">
        <v>308</v>
      </c>
      <c r="C130" s="49">
        <v>7988</v>
      </c>
      <c r="D130" s="49" t="s">
        <v>94</v>
      </c>
      <c r="E130" s="49" t="s">
        <v>62</v>
      </c>
      <c r="F130" s="107">
        <f>1500000*5</f>
        <v>7500000</v>
      </c>
      <c r="G130" s="49" t="s">
        <v>83</v>
      </c>
      <c r="H130" s="49" t="s">
        <v>78</v>
      </c>
      <c r="I130" s="50">
        <v>0.25</v>
      </c>
      <c r="J130" s="50">
        <v>0.05</v>
      </c>
      <c r="K130" s="50">
        <v>0</v>
      </c>
      <c r="L130" s="50">
        <v>0</v>
      </c>
      <c r="M130" s="50">
        <v>0</v>
      </c>
      <c r="N130" s="49">
        <f>IF(Tabla5[[#This Row],[VALOR INVERSIÓN]]="","",IF(Tabla5[[#This Row],[VALOR INVERSIÓN]]&lt;=10000000,100%*10%*22000,IF(AND(Tabla5[[#This Row],[VALOR INVERSIÓN]]&gt;10000000,Tabla5[[#This Row],[VALOR INVERSIÓN]]&lt;=20000000),60%*10%*22000,20%*10%*22000)))</f>
        <v>2200</v>
      </c>
      <c r="O130" s="49">
        <f>IF(Tabla5[[#This Row],[ROI (MESES)]]="","",IF(Tabla5[[#This Row],[ROI (MESES)]]="N/A","0",IF(Tabla5[[#This Row],[ROI (MESES)]]="&lt;=3",100%*10%*22000,IF(Tabla5[[#This Row],[ROI (MESES)]]="&gt;3&lt;=6",75%*10%*22000,25%*10%*22000))))</f>
        <v>550</v>
      </c>
      <c r="P130" s="49">
        <f>IF(Tabla5[[#This Row],[FACILIDAD IMPLEM.]]="","",IF(Tabla5[[#This Row],[FACILIDAD IMPLEM.]]="A",100%*10%*22000,IF(AND(Tabla5[[#This Row],[FACILIDAD IMPLEM.]]="B"),50%*10%*22000,20%*10%*22000)))</f>
        <v>1100</v>
      </c>
      <c r="Q130" s="49">
        <f>Tabla5[[#This Row],[IMPACTO AMBIENTAL (Máx. 25%)]]*70%*22000+Tabla5[[#This Row],[IMPACTO ECONÓMICO (Máx. 25%)]]*70%*22000+Tabla5[[#This Row],[IMPACTO SST (Máx. 20%)]]*70%*22000+Tabla5[[#This Row],[IMPACTO PRODUCTIVIDAD (Máx. 25%)]]*70%*22000+Tabla5[[#This Row],[IMPACTO ORDEN Y ASEO (Máx. 5%)]]*70%*22000</f>
        <v>4619.9999999999991</v>
      </c>
      <c r="R130" s="49">
        <f>IFERROR(Tabla5[[#This Row],[PUNTOS VALOR INVERSIÓN]]+Tabla5[[#This Row],[PUNTOS ROI ]]+Tabla5[[#This Row],[PUNTOS FACILIDAD IMPLEM. ]]+Tabla5[[#This Row],[PUNTOS IMPACTO ]],"")</f>
        <v>8470</v>
      </c>
      <c r="S130" s="54" t="s">
        <v>309</v>
      </c>
      <c r="T130" s="91" t="s">
        <v>94</v>
      </c>
      <c r="U130" s="91" t="s">
        <v>66</v>
      </c>
      <c r="V130" s="100" t="s">
        <v>310</v>
      </c>
      <c r="W130" s="102" t="s">
        <v>311</v>
      </c>
      <c r="X130" s="91" t="s">
        <v>69</v>
      </c>
      <c r="Y130" s="49" t="s">
        <v>55</v>
      </c>
    </row>
    <row r="131" spans="1:25" hidden="1" x14ac:dyDescent="0.25">
      <c r="A131" s="47">
        <v>1046667722</v>
      </c>
      <c r="B131" s="53" t="s">
        <v>312</v>
      </c>
      <c r="C131" s="49">
        <v>7989</v>
      </c>
      <c r="D131" s="49" t="s">
        <v>94</v>
      </c>
      <c r="E131" s="49" t="s">
        <v>55</v>
      </c>
      <c r="F131" s="92"/>
      <c r="G131" s="49"/>
      <c r="H131" s="49"/>
      <c r="I131" s="50"/>
      <c r="J131" s="50"/>
      <c r="K131" s="50"/>
      <c r="L131" s="50"/>
      <c r="M131" s="50"/>
      <c r="N131" s="49" t="str">
        <f>IF(Tabla5[[#This Row],[VALOR INVERSIÓN]]="","",IF(Tabla5[[#This Row],[VALOR INVERSIÓN]]&lt;=10000000,100%*10%*22000,IF(AND(Tabla5[[#This Row],[VALOR INVERSIÓN]]&gt;10000000,Tabla5[[#This Row],[VALOR INVERSIÓN]]&lt;=20000000),60%*10%*22000,20%*10%*22000)))</f>
        <v/>
      </c>
      <c r="O131" s="49" t="str">
        <f>IF(Tabla5[[#This Row],[ROI (MESES)]]="","",IF(Tabla5[[#This Row],[ROI (MESES)]]="N/A","0",IF(Tabla5[[#This Row],[ROI (MESES)]]="&lt;=3",100%*10%*22000,IF(Tabla5[[#This Row],[ROI (MESES)]]="&gt;3&lt;=6",75%*10%*22000,25%*10%*22000))))</f>
        <v/>
      </c>
      <c r="P131" s="49" t="str">
        <f>IF(Tabla5[[#This Row],[FACILIDAD IMPLEM.]]="","",IF(Tabla5[[#This Row],[FACILIDAD IMPLEM.]]="A",100%*10%*22000,IF(AND(Tabla5[[#This Row],[FACILIDAD IMPLEM.]]="B"),50%*10%*22000,20%*10%*22000)))</f>
        <v/>
      </c>
      <c r="Q131" s="49">
        <f>Tabla5[[#This Row],[IMPACTO AMBIENTAL (Máx. 25%)]]*70%*22000+Tabla5[[#This Row],[IMPACTO ECONÓMICO (Máx. 25%)]]*70%*22000+Tabla5[[#This Row],[IMPACTO SST (Máx. 20%)]]*70%*22000+Tabla5[[#This Row],[IMPACTO PRODUCTIVIDAD (Máx. 25%)]]*70%*22000+Tabla5[[#This Row],[IMPACTO ORDEN Y ASEO (Máx. 5%)]]*70%*22000</f>
        <v>0</v>
      </c>
      <c r="R131" s="49" t="str">
        <f>IFERROR(Tabla5[[#This Row],[PUNTOS VALOR INVERSIÓN]]+Tabla5[[#This Row],[PUNTOS ROI ]]+Tabla5[[#This Row],[PUNTOS FACILIDAD IMPLEM. ]]+Tabla5[[#This Row],[PUNTOS IMPACTO ]],"")</f>
        <v/>
      </c>
      <c r="S131" s="54" t="s">
        <v>313</v>
      </c>
      <c r="T131" s="91"/>
      <c r="U131" s="91"/>
      <c r="V131" s="54"/>
      <c r="W131" s="54"/>
      <c r="X131" s="49"/>
      <c r="Y131" s="49"/>
    </row>
    <row r="132" spans="1:25" ht="41.4" x14ac:dyDescent="0.25">
      <c r="A132" s="47">
        <v>41942365</v>
      </c>
      <c r="B132" s="53" t="s">
        <v>296</v>
      </c>
      <c r="C132" s="49">
        <v>7990</v>
      </c>
      <c r="D132" s="49" t="s">
        <v>94</v>
      </c>
      <c r="E132" s="49" t="s">
        <v>62</v>
      </c>
      <c r="F132" s="107">
        <v>6000000</v>
      </c>
      <c r="G132" s="49" t="s">
        <v>83</v>
      </c>
      <c r="H132" s="49" t="s">
        <v>73</v>
      </c>
      <c r="I132" s="50">
        <v>0.25</v>
      </c>
      <c r="J132" s="50">
        <v>0.05</v>
      </c>
      <c r="K132" s="50">
        <v>0</v>
      </c>
      <c r="L132" s="50">
        <v>0</v>
      </c>
      <c r="M132" s="50">
        <v>0</v>
      </c>
      <c r="N132" s="49">
        <f>IF(Tabla5[[#This Row],[VALOR INVERSIÓN]]="","",IF(Tabla5[[#This Row],[VALOR INVERSIÓN]]&lt;=10000000,100%*10%*22000,IF(AND(Tabla5[[#This Row],[VALOR INVERSIÓN]]&gt;10000000,Tabla5[[#This Row],[VALOR INVERSIÓN]]&lt;=20000000),60%*10%*22000,20%*10%*22000)))</f>
        <v>2200</v>
      </c>
      <c r="O132" s="49">
        <f>IF(Tabla5[[#This Row],[ROI (MESES)]]="","",IF(Tabla5[[#This Row],[ROI (MESES)]]="N/A","0",IF(Tabla5[[#This Row],[ROI (MESES)]]="&lt;=3",100%*10%*22000,IF(Tabla5[[#This Row],[ROI (MESES)]]="&gt;3&lt;=6",75%*10%*22000,25%*10%*22000))))</f>
        <v>550</v>
      </c>
      <c r="P132" s="49">
        <f>IF(Tabla5[[#This Row],[FACILIDAD IMPLEM.]]="","",IF(Tabla5[[#This Row],[FACILIDAD IMPLEM.]]="A",100%*10%*22000,IF(AND(Tabla5[[#This Row],[FACILIDAD IMPLEM.]]="B"),50%*10%*22000,20%*10%*22000)))</f>
        <v>2200</v>
      </c>
      <c r="Q132" s="49">
        <f>Tabla5[[#This Row],[IMPACTO AMBIENTAL (Máx. 25%)]]*70%*22000+Tabla5[[#This Row],[IMPACTO ECONÓMICO (Máx. 25%)]]*70%*22000+Tabla5[[#This Row],[IMPACTO SST (Máx. 20%)]]*70%*22000+Tabla5[[#This Row],[IMPACTO PRODUCTIVIDAD (Máx. 25%)]]*70%*22000+Tabla5[[#This Row],[IMPACTO ORDEN Y ASEO (Máx. 5%)]]*70%*22000</f>
        <v>4619.9999999999991</v>
      </c>
      <c r="R132" s="49">
        <f>IFERROR(Tabla5[[#This Row],[PUNTOS VALOR INVERSIÓN]]+Tabla5[[#This Row],[PUNTOS ROI ]]+Tabla5[[#This Row],[PUNTOS FACILIDAD IMPLEM. ]]+Tabla5[[#This Row],[PUNTOS IMPACTO ]],"")</f>
        <v>9570</v>
      </c>
      <c r="S132" s="54" t="s">
        <v>314</v>
      </c>
      <c r="T132" s="91" t="s">
        <v>94</v>
      </c>
      <c r="U132" s="91" t="s">
        <v>89</v>
      </c>
      <c r="V132" s="54" t="s">
        <v>315</v>
      </c>
      <c r="W132" s="54" t="s">
        <v>316</v>
      </c>
      <c r="X132" s="91" t="s">
        <v>317</v>
      </c>
      <c r="Y132" s="49" t="s">
        <v>77</v>
      </c>
    </row>
    <row r="133" spans="1:25" ht="41.4" x14ac:dyDescent="0.25">
      <c r="A133" s="47">
        <v>1037590254</v>
      </c>
      <c r="B133" s="53" t="s">
        <v>318</v>
      </c>
      <c r="C133" s="49">
        <v>7991</v>
      </c>
      <c r="D133" s="49" t="s">
        <v>94</v>
      </c>
      <c r="E133" s="49" t="s">
        <v>62</v>
      </c>
      <c r="F133" s="107">
        <v>20000000</v>
      </c>
      <c r="G133" s="49" t="s">
        <v>83</v>
      </c>
      <c r="H133" s="49" t="s">
        <v>78</v>
      </c>
      <c r="I133" s="50">
        <v>0.15</v>
      </c>
      <c r="J133" s="50">
        <v>0.12</v>
      </c>
      <c r="K133" s="50">
        <v>0</v>
      </c>
      <c r="L133" s="50">
        <v>0</v>
      </c>
      <c r="M133" s="50">
        <v>0</v>
      </c>
      <c r="N133" s="49">
        <f>IF(Tabla5[[#This Row],[VALOR INVERSIÓN]]="","",IF(Tabla5[[#This Row],[VALOR INVERSIÓN]]&lt;=10000000,100%*10%*22000,IF(AND(Tabla5[[#This Row],[VALOR INVERSIÓN]]&gt;10000000,Tabla5[[#This Row],[VALOR INVERSIÓN]]&lt;=20000000),60%*10%*22000,20%*10%*22000)))</f>
        <v>1320</v>
      </c>
      <c r="O133" s="49">
        <f>IF(Tabla5[[#This Row],[ROI (MESES)]]="","",IF(Tabla5[[#This Row],[ROI (MESES)]]="N/A","0",IF(Tabla5[[#This Row],[ROI (MESES)]]="&lt;=3",100%*10%*22000,IF(Tabla5[[#This Row],[ROI (MESES)]]="&gt;3&lt;=6",75%*10%*22000,25%*10%*22000))))</f>
        <v>550</v>
      </c>
      <c r="P133" s="49">
        <f>IF(Tabla5[[#This Row],[FACILIDAD IMPLEM.]]="","",IF(Tabla5[[#This Row],[FACILIDAD IMPLEM.]]="A",100%*10%*22000,IF(AND(Tabla5[[#This Row],[FACILIDAD IMPLEM.]]="B"),50%*10%*22000,20%*10%*22000)))</f>
        <v>1100</v>
      </c>
      <c r="Q133" s="49">
        <f>Tabla5[[#This Row],[IMPACTO AMBIENTAL (Máx. 25%)]]*70%*22000+Tabla5[[#This Row],[IMPACTO ECONÓMICO (Máx. 25%)]]*70%*22000+Tabla5[[#This Row],[IMPACTO SST (Máx. 20%)]]*70%*22000+Tabla5[[#This Row],[IMPACTO PRODUCTIVIDAD (Máx. 25%)]]*70%*22000+Tabla5[[#This Row],[IMPACTO ORDEN Y ASEO (Máx. 5%)]]*70%*22000</f>
        <v>4158</v>
      </c>
      <c r="R133" s="49">
        <f>IFERROR(Tabla5[[#This Row],[PUNTOS VALOR INVERSIÓN]]+Tabla5[[#This Row],[PUNTOS ROI ]]+Tabla5[[#This Row],[PUNTOS FACILIDAD IMPLEM. ]]+Tabla5[[#This Row],[PUNTOS IMPACTO ]],"")</f>
        <v>7128</v>
      </c>
      <c r="S133" s="54" t="s">
        <v>319</v>
      </c>
      <c r="T133" s="91" t="s">
        <v>94</v>
      </c>
      <c r="U133" s="91" t="s">
        <v>66</v>
      </c>
      <c r="V133" s="54" t="s">
        <v>320</v>
      </c>
      <c r="W133" s="54" t="s">
        <v>321</v>
      </c>
      <c r="X133" s="91" t="s">
        <v>322</v>
      </c>
      <c r="Y133" s="49" t="s">
        <v>132</v>
      </c>
    </row>
    <row r="134" spans="1:25" hidden="1" x14ac:dyDescent="0.25">
      <c r="A134" s="47">
        <v>41942365</v>
      </c>
      <c r="B134" s="53" t="s">
        <v>296</v>
      </c>
      <c r="C134" s="49">
        <v>7992</v>
      </c>
      <c r="D134" s="49" t="s">
        <v>94</v>
      </c>
      <c r="E134" s="49" t="s">
        <v>55</v>
      </c>
      <c r="F134" s="92"/>
      <c r="G134" s="49"/>
      <c r="H134" s="49"/>
      <c r="I134" s="50"/>
      <c r="J134" s="50"/>
      <c r="K134" s="50"/>
      <c r="L134" s="50"/>
      <c r="M134" s="50"/>
      <c r="N134" s="49" t="str">
        <f>IF(Tabla5[[#This Row],[VALOR INVERSIÓN]]="","",IF(Tabla5[[#This Row],[VALOR INVERSIÓN]]&lt;=10000000,100%*10%*22000,IF(AND(Tabla5[[#This Row],[VALOR INVERSIÓN]]&gt;10000000,Tabla5[[#This Row],[VALOR INVERSIÓN]]&lt;=20000000),60%*10%*22000,20%*10%*22000)))</f>
        <v/>
      </c>
      <c r="O134" s="49" t="str">
        <f>IF(Tabla5[[#This Row],[ROI (MESES)]]="","",IF(Tabla5[[#This Row],[ROI (MESES)]]="N/A","0",IF(Tabla5[[#This Row],[ROI (MESES)]]="&lt;=3",100%*10%*22000,IF(Tabla5[[#This Row],[ROI (MESES)]]="&gt;3&lt;=6",75%*10%*22000,25%*10%*22000))))</f>
        <v/>
      </c>
      <c r="P134" s="49" t="str">
        <f>IF(Tabla5[[#This Row],[FACILIDAD IMPLEM.]]="","",IF(Tabla5[[#This Row],[FACILIDAD IMPLEM.]]="A",100%*10%*22000,IF(AND(Tabla5[[#This Row],[FACILIDAD IMPLEM.]]="B"),50%*10%*22000,20%*10%*22000)))</f>
        <v/>
      </c>
      <c r="Q134" s="49">
        <f>Tabla5[[#This Row],[IMPACTO AMBIENTAL (Máx. 25%)]]*70%*22000+Tabla5[[#This Row],[IMPACTO ECONÓMICO (Máx. 25%)]]*70%*22000+Tabla5[[#This Row],[IMPACTO SST (Máx. 20%)]]*70%*22000+Tabla5[[#This Row],[IMPACTO PRODUCTIVIDAD (Máx. 25%)]]*70%*22000+Tabla5[[#This Row],[IMPACTO ORDEN Y ASEO (Máx. 5%)]]*70%*22000</f>
        <v>0</v>
      </c>
      <c r="R134" s="49" t="str">
        <f>IFERROR(Tabla5[[#This Row],[PUNTOS VALOR INVERSIÓN]]+Tabla5[[#This Row],[PUNTOS ROI ]]+Tabla5[[#This Row],[PUNTOS FACILIDAD IMPLEM. ]]+Tabla5[[#This Row],[PUNTOS IMPACTO ]],"")</f>
        <v/>
      </c>
      <c r="S134" s="54" t="s">
        <v>323</v>
      </c>
      <c r="T134" s="91"/>
      <c r="U134" s="91"/>
      <c r="V134" s="54"/>
      <c r="W134" s="54"/>
      <c r="X134" s="49"/>
      <c r="Y134" s="49"/>
    </row>
    <row r="135" spans="1:25" ht="27.6" x14ac:dyDescent="0.25">
      <c r="A135" s="47">
        <v>41942365</v>
      </c>
      <c r="B135" s="53" t="s">
        <v>296</v>
      </c>
      <c r="C135" s="49">
        <v>7993</v>
      </c>
      <c r="D135" s="49" t="s">
        <v>94</v>
      </c>
      <c r="E135" s="49" t="s">
        <v>62</v>
      </c>
      <c r="F135" s="107">
        <f>10000*1000</f>
        <v>10000000</v>
      </c>
      <c r="G135" s="49" t="s">
        <v>63</v>
      </c>
      <c r="H135" s="49" t="s">
        <v>73</v>
      </c>
      <c r="I135" s="50">
        <v>0.05</v>
      </c>
      <c r="J135" s="50">
        <v>0</v>
      </c>
      <c r="K135" s="50">
        <v>0</v>
      </c>
      <c r="L135" s="50">
        <v>0</v>
      </c>
      <c r="M135" s="50">
        <v>0</v>
      </c>
      <c r="N135" s="49">
        <f>IF(Tabla5[[#This Row],[VALOR INVERSIÓN]]="","",IF(Tabla5[[#This Row],[VALOR INVERSIÓN]]&lt;=10000000,100%*10%*22000,IF(AND(Tabla5[[#This Row],[VALOR INVERSIÓN]]&gt;10000000,Tabla5[[#This Row],[VALOR INVERSIÓN]]&lt;=20000000),60%*10%*22000,20%*10%*22000)))</f>
        <v>2200</v>
      </c>
      <c r="O135" s="49" t="str">
        <f>IF(Tabla5[[#This Row],[ROI (MESES)]]="","",IF(Tabla5[[#This Row],[ROI (MESES)]]="N/A","0",IF(Tabla5[[#This Row],[ROI (MESES)]]="&lt;=3",100%*10%*22000,IF(Tabla5[[#This Row],[ROI (MESES)]]="&gt;3&lt;=6",75%*10%*22000,25%*10%*22000))))</f>
        <v>0</v>
      </c>
      <c r="P135" s="49">
        <f>IF(Tabla5[[#This Row],[FACILIDAD IMPLEM.]]="","",IF(Tabla5[[#This Row],[FACILIDAD IMPLEM.]]="A",100%*10%*22000,IF(AND(Tabla5[[#This Row],[FACILIDAD IMPLEM.]]="B"),50%*10%*22000,20%*10%*22000)))</f>
        <v>2200</v>
      </c>
      <c r="Q135" s="49">
        <f>Tabla5[[#This Row],[IMPACTO AMBIENTAL (Máx. 25%)]]*70%*22000+Tabla5[[#This Row],[IMPACTO ECONÓMICO (Máx. 25%)]]*70%*22000+Tabla5[[#This Row],[IMPACTO SST (Máx. 20%)]]*70%*22000+Tabla5[[#This Row],[IMPACTO PRODUCTIVIDAD (Máx. 25%)]]*70%*22000+Tabla5[[#This Row],[IMPACTO ORDEN Y ASEO (Máx. 5%)]]*70%*22000</f>
        <v>769.99999999999989</v>
      </c>
      <c r="R135" s="49">
        <f>IFERROR(Tabla5[[#This Row],[PUNTOS VALOR INVERSIÓN]]+Tabla5[[#This Row],[PUNTOS ROI ]]+Tabla5[[#This Row],[PUNTOS FACILIDAD IMPLEM. ]]+Tabla5[[#This Row],[PUNTOS IMPACTO ]],"")</f>
        <v>5170</v>
      </c>
      <c r="S135" s="54" t="s">
        <v>324</v>
      </c>
      <c r="T135" s="91" t="s">
        <v>94</v>
      </c>
      <c r="U135" s="91" t="s">
        <v>84</v>
      </c>
      <c r="V135" s="54" t="s">
        <v>325</v>
      </c>
      <c r="W135" s="54" t="s">
        <v>326</v>
      </c>
      <c r="X135" s="91"/>
      <c r="Y135" s="49" t="s">
        <v>55</v>
      </c>
    </row>
    <row r="136" spans="1:25" ht="27.6" hidden="1" x14ac:dyDescent="0.25">
      <c r="A136" s="47">
        <v>1026132871</v>
      </c>
      <c r="B136" s="53" t="s">
        <v>93</v>
      </c>
      <c r="C136" s="49">
        <v>7994</v>
      </c>
      <c r="D136" s="49" t="s">
        <v>94</v>
      </c>
      <c r="E136" s="49" t="s">
        <v>55</v>
      </c>
      <c r="F136" s="92"/>
      <c r="G136" s="49"/>
      <c r="H136" s="49"/>
      <c r="I136" s="50"/>
      <c r="J136" s="50"/>
      <c r="K136" s="50"/>
      <c r="L136" s="50"/>
      <c r="M136" s="50"/>
      <c r="N136" s="49" t="str">
        <f>IF(Tabla5[[#This Row],[VALOR INVERSIÓN]]="","",IF(Tabla5[[#This Row],[VALOR INVERSIÓN]]&lt;=10000000,100%*10%*22000,IF(AND(Tabla5[[#This Row],[VALOR INVERSIÓN]]&gt;10000000,Tabla5[[#This Row],[VALOR INVERSIÓN]]&lt;=20000000),60%*10%*22000,20%*10%*22000)))</f>
        <v/>
      </c>
      <c r="O136" s="49" t="str">
        <f>IF(Tabla5[[#This Row],[ROI (MESES)]]="","",IF(Tabla5[[#This Row],[ROI (MESES)]]="N/A","0",IF(Tabla5[[#This Row],[ROI (MESES)]]="&lt;=3",100%*10%*22000,IF(Tabla5[[#This Row],[ROI (MESES)]]="&gt;3&lt;=6",75%*10%*22000,25%*10%*22000))))</f>
        <v/>
      </c>
      <c r="P136" s="49" t="str">
        <f>IF(Tabla5[[#This Row],[FACILIDAD IMPLEM.]]="","",IF(Tabla5[[#This Row],[FACILIDAD IMPLEM.]]="A",100%*10%*22000,IF(AND(Tabla5[[#This Row],[FACILIDAD IMPLEM.]]="B"),50%*10%*22000,20%*10%*22000)))</f>
        <v/>
      </c>
      <c r="Q136" s="49">
        <f>Tabla5[[#This Row],[IMPACTO AMBIENTAL (Máx. 25%)]]*70%*22000+Tabla5[[#This Row],[IMPACTO ECONÓMICO (Máx. 25%)]]*70%*22000+Tabla5[[#This Row],[IMPACTO SST (Máx. 20%)]]*70%*22000+Tabla5[[#This Row],[IMPACTO PRODUCTIVIDAD (Máx. 25%)]]*70%*22000+Tabla5[[#This Row],[IMPACTO ORDEN Y ASEO (Máx. 5%)]]*70%*22000</f>
        <v>0</v>
      </c>
      <c r="R136" s="49" t="str">
        <f>IFERROR(Tabla5[[#This Row],[PUNTOS VALOR INVERSIÓN]]+Tabla5[[#This Row],[PUNTOS ROI ]]+Tabla5[[#This Row],[PUNTOS FACILIDAD IMPLEM. ]]+Tabla5[[#This Row],[PUNTOS IMPACTO ]],"")</f>
        <v/>
      </c>
      <c r="S136" s="54" t="s">
        <v>327</v>
      </c>
      <c r="T136" s="91"/>
      <c r="U136" s="91"/>
      <c r="V136" s="54"/>
      <c r="W136" s="54"/>
      <c r="X136" s="49"/>
      <c r="Y136" s="49"/>
    </row>
    <row r="137" spans="1:25" ht="27.6" hidden="1" x14ac:dyDescent="0.25">
      <c r="A137" s="47">
        <v>1035910024</v>
      </c>
      <c r="B137" s="53" t="s">
        <v>328</v>
      </c>
      <c r="C137" s="49">
        <v>8054</v>
      </c>
      <c r="D137" s="49" t="s">
        <v>94</v>
      </c>
      <c r="E137" s="49" t="s">
        <v>55</v>
      </c>
      <c r="F137" s="92"/>
      <c r="G137" s="49"/>
      <c r="H137" s="49"/>
      <c r="I137" s="50"/>
      <c r="J137" s="50"/>
      <c r="K137" s="50"/>
      <c r="L137" s="50"/>
      <c r="M137" s="50"/>
      <c r="N137" s="49" t="str">
        <f>IF(Tabla5[[#This Row],[VALOR INVERSIÓN]]="","",IF(Tabla5[[#This Row],[VALOR INVERSIÓN]]&lt;=10000000,100%*10%*22000,IF(AND(Tabla5[[#This Row],[VALOR INVERSIÓN]]&gt;10000000,Tabla5[[#This Row],[VALOR INVERSIÓN]]&lt;=20000000),60%*10%*22000,20%*10%*22000)))</f>
        <v/>
      </c>
      <c r="O137" s="49" t="str">
        <f>IF(Tabla5[[#This Row],[ROI (MESES)]]="","",IF(Tabla5[[#This Row],[ROI (MESES)]]="N/A","0",IF(Tabla5[[#This Row],[ROI (MESES)]]="&lt;=3",100%*10%*22000,IF(Tabla5[[#This Row],[ROI (MESES)]]="&gt;3&lt;=6",75%*10%*22000,25%*10%*22000))))</f>
        <v/>
      </c>
      <c r="P137" s="49" t="str">
        <f>IF(Tabla5[[#This Row],[FACILIDAD IMPLEM.]]="","",IF(Tabla5[[#This Row],[FACILIDAD IMPLEM.]]="A",100%*10%*22000,IF(AND(Tabla5[[#This Row],[FACILIDAD IMPLEM.]]="B"),50%*10%*22000,20%*10%*22000)))</f>
        <v/>
      </c>
      <c r="Q137" s="49">
        <f>Tabla5[[#This Row],[IMPACTO AMBIENTAL (Máx. 25%)]]*70%*22000+Tabla5[[#This Row],[IMPACTO ECONÓMICO (Máx. 25%)]]*70%*22000+Tabla5[[#This Row],[IMPACTO SST (Máx. 20%)]]*70%*22000+Tabla5[[#This Row],[IMPACTO PRODUCTIVIDAD (Máx. 25%)]]*70%*22000+Tabla5[[#This Row],[IMPACTO ORDEN Y ASEO (Máx. 5%)]]*70%*22000</f>
        <v>0</v>
      </c>
      <c r="R137" s="49" t="str">
        <f>IFERROR(Tabla5[[#This Row],[PUNTOS VALOR INVERSIÓN]]+Tabla5[[#This Row],[PUNTOS ROI ]]+Tabla5[[#This Row],[PUNTOS FACILIDAD IMPLEM. ]]+Tabla5[[#This Row],[PUNTOS IMPACTO ]],"")</f>
        <v/>
      </c>
      <c r="S137" s="54" t="s">
        <v>329</v>
      </c>
      <c r="T137" s="91"/>
      <c r="U137" s="91"/>
      <c r="V137" s="54"/>
      <c r="W137" s="54"/>
      <c r="X137" s="49"/>
      <c r="Y137" s="49"/>
    </row>
    <row r="138" spans="1:25" ht="27.6" hidden="1" x14ac:dyDescent="0.25">
      <c r="A138" s="47">
        <v>1128270325</v>
      </c>
      <c r="B138" s="53" t="s">
        <v>330</v>
      </c>
      <c r="C138" s="49">
        <v>8055</v>
      </c>
      <c r="D138" s="49" t="s">
        <v>94</v>
      </c>
      <c r="E138" s="49" t="s">
        <v>55</v>
      </c>
      <c r="F138" s="92"/>
      <c r="G138" s="49"/>
      <c r="H138" s="49"/>
      <c r="I138" s="50"/>
      <c r="J138" s="50"/>
      <c r="K138" s="50"/>
      <c r="L138" s="50"/>
      <c r="M138" s="50"/>
      <c r="N138" s="49" t="str">
        <f>IF(Tabla5[[#This Row],[VALOR INVERSIÓN]]="","",IF(Tabla5[[#This Row],[VALOR INVERSIÓN]]&lt;=10000000,100%*10%*22000,IF(AND(Tabla5[[#This Row],[VALOR INVERSIÓN]]&gt;10000000,Tabla5[[#This Row],[VALOR INVERSIÓN]]&lt;=20000000),60%*10%*22000,20%*10%*22000)))</f>
        <v/>
      </c>
      <c r="O138" s="49" t="str">
        <f>IF(Tabla5[[#This Row],[ROI (MESES)]]="","",IF(Tabla5[[#This Row],[ROI (MESES)]]="N/A","0",IF(Tabla5[[#This Row],[ROI (MESES)]]="&lt;=3",100%*10%*22000,IF(Tabla5[[#This Row],[ROI (MESES)]]="&gt;3&lt;=6",75%*10%*22000,25%*10%*22000))))</f>
        <v/>
      </c>
      <c r="P138" s="49" t="str">
        <f>IF(Tabla5[[#This Row],[FACILIDAD IMPLEM.]]="","",IF(Tabla5[[#This Row],[FACILIDAD IMPLEM.]]="A",100%*10%*22000,IF(AND(Tabla5[[#This Row],[FACILIDAD IMPLEM.]]="B"),50%*10%*22000,20%*10%*22000)))</f>
        <v/>
      </c>
      <c r="Q138" s="49">
        <f>Tabla5[[#This Row],[IMPACTO AMBIENTAL (Máx. 25%)]]*70%*22000+Tabla5[[#This Row],[IMPACTO ECONÓMICO (Máx. 25%)]]*70%*22000+Tabla5[[#This Row],[IMPACTO SST (Máx. 20%)]]*70%*22000+Tabla5[[#This Row],[IMPACTO PRODUCTIVIDAD (Máx. 25%)]]*70%*22000+Tabla5[[#This Row],[IMPACTO ORDEN Y ASEO (Máx. 5%)]]*70%*22000</f>
        <v>0</v>
      </c>
      <c r="R138" s="49" t="str">
        <f>IFERROR(Tabla5[[#This Row],[PUNTOS VALOR INVERSIÓN]]+Tabla5[[#This Row],[PUNTOS ROI ]]+Tabla5[[#This Row],[PUNTOS FACILIDAD IMPLEM. ]]+Tabla5[[#This Row],[PUNTOS IMPACTO ]],"")</f>
        <v/>
      </c>
      <c r="S138" s="54" t="s">
        <v>331</v>
      </c>
      <c r="T138" s="91"/>
      <c r="U138" s="91"/>
      <c r="V138" s="54"/>
      <c r="W138" s="54"/>
      <c r="X138" s="49"/>
      <c r="Y138" s="49"/>
    </row>
    <row r="139" spans="1:25" ht="27.6" x14ac:dyDescent="0.25">
      <c r="A139" s="47">
        <v>41942365</v>
      </c>
      <c r="B139" s="53" t="s">
        <v>296</v>
      </c>
      <c r="C139" s="49">
        <v>8056</v>
      </c>
      <c r="D139" s="49" t="s">
        <v>94</v>
      </c>
      <c r="E139" s="49" t="s">
        <v>62</v>
      </c>
      <c r="F139" s="107">
        <v>15000000</v>
      </c>
      <c r="G139" s="49" t="s">
        <v>63</v>
      </c>
      <c r="H139" s="49" t="s">
        <v>78</v>
      </c>
      <c r="I139" s="50">
        <v>0</v>
      </c>
      <c r="J139" s="50">
        <v>0</v>
      </c>
      <c r="K139" s="50">
        <v>0</v>
      </c>
      <c r="L139" s="50">
        <v>0.05</v>
      </c>
      <c r="M139" s="50">
        <v>0</v>
      </c>
      <c r="N139" s="49">
        <f>IF(Tabla5[[#This Row],[VALOR INVERSIÓN]]="","",IF(Tabla5[[#This Row],[VALOR INVERSIÓN]]&lt;=10000000,100%*10%*22000,IF(AND(Tabla5[[#This Row],[VALOR INVERSIÓN]]&gt;10000000,Tabla5[[#This Row],[VALOR INVERSIÓN]]&lt;=20000000),60%*10%*22000,20%*10%*22000)))</f>
        <v>1320</v>
      </c>
      <c r="O139" s="49" t="str">
        <f>IF(Tabla5[[#This Row],[ROI (MESES)]]="","",IF(Tabla5[[#This Row],[ROI (MESES)]]="N/A","0",IF(Tabla5[[#This Row],[ROI (MESES)]]="&lt;=3",100%*10%*22000,IF(Tabla5[[#This Row],[ROI (MESES)]]="&gt;3&lt;=6",75%*10%*22000,25%*10%*22000))))</f>
        <v>0</v>
      </c>
      <c r="P139" s="49">
        <f>IF(Tabla5[[#This Row],[FACILIDAD IMPLEM.]]="","",IF(Tabla5[[#This Row],[FACILIDAD IMPLEM.]]="A",100%*10%*22000,IF(AND(Tabla5[[#This Row],[FACILIDAD IMPLEM.]]="B"),50%*10%*22000,20%*10%*22000)))</f>
        <v>1100</v>
      </c>
      <c r="Q139" s="49">
        <f>Tabla5[[#This Row],[IMPACTO AMBIENTAL (Máx. 25%)]]*70%*22000+Tabla5[[#This Row],[IMPACTO ECONÓMICO (Máx. 25%)]]*70%*22000+Tabla5[[#This Row],[IMPACTO SST (Máx. 20%)]]*70%*22000+Tabla5[[#This Row],[IMPACTO PRODUCTIVIDAD (Máx. 25%)]]*70%*22000+Tabla5[[#This Row],[IMPACTO ORDEN Y ASEO (Máx. 5%)]]*70%*22000</f>
        <v>769.99999999999989</v>
      </c>
      <c r="R139" s="49">
        <f>IFERROR(Tabla5[[#This Row],[PUNTOS VALOR INVERSIÓN]]+Tabla5[[#This Row],[PUNTOS ROI ]]+Tabla5[[#This Row],[PUNTOS FACILIDAD IMPLEM. ]]+Tabla5[[#This Row],[PUNTOS IMPACTO ]],"")</f>
        <v>3190</v>
      </c>
      <c r="S139" s="54" t="s">
        <v>332</v>
      </c>
      <c r="T139" s="91" t="s">
        <v>94</v>
      </c>
      <c r="U139" s="91" t="s">
        <v>84</v>
      </c>
      <c r="V139" s="54" t="s">
        <v>333</v>
      </c>
      <c r="W139" s="54" t="s">
        <v>334</v>
      </c>
      <c r="X139" s="91"/>
      <c r="Y139" s="49" t="s">
        <v>55</v>
      </c>
    </row>
    <row r="140" spans="1:25" x14ac:dyDescent="0.25">
      <c r="A140" s="47">
        <v>41942365</v>
      </c>
      <c r="B140" s="53" t="s">
        <v>296</v>
      </c>
      <c r="C140" s="49">
        <v>8057</v>
      </c>
      <c r="D140" s="49" t="s">
        <v>94</v>
      </c>
      <c r="E140" s="49" t="s">
        <v>62</v>
      </c>
      <c r="F140" s="107">
        <v>100000000</v>
      </c>
      <c r="G140" s="49" t="s">
        <v>83</v>
      </c>
      <c r="H140" s="49" t="s">
        <v>64</v>
      </c>
      <c r="I140" s="50">
        <v>0</v>
      </c>
      <c r="J140" s="50">
        <v>0.05</v>
      </c>
      <c r="K140" s="50">
        <v>0</v>
      </c>
      <c r="L140" s="50">
        <v>0</v>
      </c>
      <c r="M140" s="50">
        <v>0</v>
      </c>
      <c r="N140" s="49">
        <f>IF(Tabla5[[#This Row],[VALOR INVERSIÓN]]="","",IF(Tabla5[[#This Row],[VALOR INVERSIÓN]]&lt;=10000000,100%*10%*22000,IF(AND(Tabla5[[#This Row],[VALOR INVERSIÓN]]&gt;10000000,Tabla5[[#This Row],[VALOR INVERSIÓN]]&lt;=20000000),60%*10%*22000,20%*10%*22000)))</f>
        <v>440.00000000000011</v>
      </c>
      <c r="O140" s="49">
        <f>IF(Tabla5[[#This Row],[ROI (MESES)]]="","",IF(Tabla5[[#This Row],[ROI (MESES)]]="N/A","0",IF(Tabla5[[#This Row],[ROI (MESES)]]="&lt;=3",100%*10%*22000,IF(Tabla5[[#This Row],[ROI (MESES)]]="&gt;3&lt;=6",75%*10%*22000,25%*10%*22000))))</f>
        <v>550</v>
      </c>
      <c r="P140" s="49">
        <f>IF(Tabla5[[#This Row],[FACILIDAD IMPLEM.]]="","",IF(Tabla5[[#This Row],[FACILIDAD IMPLEM.]]="A",100%*10%*22000,IF(AND(Tabla5[[#This Row],[FACILIDAD IMPLEM.]]="B"),50%*10%*22000,20%*10%*22000)))</f>
        <v>440.00000000000011</v>
      </c>
      <c r="Q140" s="49">
        <f>Tabla5[[#This Row],[IMPACTO AMBIENTAL (Máx. 25%)]]*70%*22000+Tabla5[[#This Row],[IMPACTO ECONÓMICO (Máx. 25%)]]*70%*22000+Tabla5[[#This Row],[IMPACTO SST (Máx. 20%)]]*70%*22000+Tabla5[[#This Row],[IMPACTO PRODUCTIVIDAD (Máx. 25%)]]*70%*22000+Tabla5[[#This Row],[IMPACTO ORDEN Y ASEO (Máx. 5%)]]*70%*22000</f>
        <v>769.99999999999989</v>
      </c>
      <c r="R140" s="49">
        <f>IFERROR(Tabla5[[#This Row],[PUNTOS VALOR INVERSIÓN]]+Tabla5[[#This Row],[PUNTOS ROI ]]+Tabla5[[#This Row],[PUNTOS FACILIDAD IMPLEM. ]]+Tabla5[[#This Row],[PUNTOS IMPACTO ]],"")</f>
        <v>2200</v>
      </c>
      <c r="S140" s="54" t="s">
        <v>335</v>
      </c>
      <c r="T140" s="91" t="s">
        <v>94</v>
      </c>
      <c r="U140" s="91" t="s">
        <v>110</v>
      </c>
      <c r="V140" s="54" t="s">
        <v>336</v>
      </c>
      <c r="W140" s="54" t="s">
        <v>337</v>
      </c>
      <c r="X140" s="91" t="s">
        <v>322</v>
      </c>
      <c r="Y140" s="49" t="s">
        <v>132</v>
      </c>
    </row>
    <row r="141" spans="1:25" ht="27.6" x14ac:dyDescent="0.25">
      <c r="A141" s="47">
        <v>75080238</v>
      </c>
      <c r="B141" s="53" t="s">
        <v>338</v>
      </c>
      <c r="C141" s="49">
        <v>8058</v>
      </c>
      <c r="D141" s="49" t="s">
        <v>94</v>
      </c>
      <c r="E141" s="49" t="s">
        <v>62</v>
      </c>
      <c r="F141" s="107">
        <v>6000000</v>
      </c>
      <c r="G141" s="49" t="s">
        <v>83</v>
      </c>
      <c r="H141" s="49" t="s">
        <v>78</v>
      </c>
      <c r="I141" s="50">
        <v>0.12</v>
      </c>
      <c r="J141" s="50">
        <v>7.0000000000000007E-2</v>
      </c>
      <c r="K141" s="50">
        <v>0</v>
      </c>
      <c r="L141" s="50">
        <v>0</v>
      </c>
      <c r="M141" s="50">
        <v>0</v>
      </c>
      <c r="N141" s="49">
        <f>IF(Tabla5[[#This Row],[VALOR INVERSIÓN]]="","",IF(Tabla5[[#This Row],[VALOR INVERSIÓN]]&lt;=10000000,100%*10%*22000,IF(AND(Tabla5[[#This Row],[VALOR INVERSIÓN]]&gt;10000000,Tabla5[[#This Row],[VALOR INVERSIÓN]]&lt;=20000000),60%*10%*22000,20%*10%*22000)))</f>
        <v>2200</v>
      </c>
      <c r="O141" s="49">
        <f>IF(Tabla5[[#This Row],[ROI (MESES)]]="","",IF(Tabla5[[#This Row],[ROI (MESES)]]="N/A","0",IF(Tabla5[[#This Row],[ROI (MESES)]]="&lt;=3",100%*10%*22000,IF(Tabla5[[#This Row],[ROI (MESES)]]="&gt;3&lt;=6",75%*10%*22000,25%*10%*22000))))</f>
        <v>550</v>
      </c>
      <c r="P141" s="49">
        <f>IF(Tabla5[[#This Row],[FACILIDAD IMPLEM.]]="","",IF(Tabla5[[#This Row],[FACILIDAD IMPLEM.]]="A",100%*10%*22000,IF(AND(Tabla5[[#This Row],[FACILIDAD IMPLEM.]]="B"),50%*10%*22000,20%*10%*22000)))</f>
        <v>1100</v>
      </c>
      <c r="Q141" s="49">
        <f>Tabla5[[#This Row],[IMPACTO AMBIENTAL (Máx. 25%)]]*70%*22000+Tabla5[[#This Row],[IMPACTO ECONÓMICO (Máx. 25%)]]*70%*22000+Tabla5[[#This Row],[IMPACTO SST (Máx. 20%)]]*70%*22000+Tabla5[[#This Row],[IMPACTO PRODUCTIVIDAD (Máx. 25%)]]*70%*22000+Tabla5[[#This Row],[IMPACTO ORDEN Y ASEO (Máx. 5%)]]*70%*22000</f>
        <v>2926</v>
      </c>
      <c r="R141" s="49">
        <f>IFERROR(Tabla5[[#This Row],[PUNTOS VALOR INVERSIÓN]]+Tabla5[[#This Row],[PUNTOS ROI ]]+Tabla5[[#This Row],[PUNTOS FACILIDAD IMPLEM. ]]+Tabla5[[#This Row],[PUNTOS IMPACTO ]],"")</f>
        <v>6776</v>
      </c>
      <c r="S141" s="54" t="s">
        <v>339</v>
      </c>
      <c r="T141" s="91" t="s">
        <v>94</v>
      </c>
      <c r="U141" s="91" t="s">
        <v>89</v>
      </c>
      <c r="V141" s="104" t="s">
        <v>340</v>
      </c>
      <c r="W141" s="103" t="s">
        <v>341</v>
      </c>
      <c r="X141" s="91" t="s">
        <v>317</v>
      </c>
      <c r="Y141" s="49" t="s">
        <v>132</v>
      </c>
    </row>
    <row r="142" spans="1:25" ht="27.6" hidden="1" x14ac:dyDescent="0.25">
      <c r="A142" s="47">
        <v>1152442448</v>
      </c>
      <c r="B142" s="53" t="s">
        <v>342</v>
      </c>
      <c r="C142" s="49">
        <v>8059</v>
      </c>
      <c r="D142" s="49" t="s">
        <v>94</v>
      </c>
      <c r="E142" s="49" t="s">
        <v>55</v>
      </c>
      <c r="F142" s="92"/>
      <c r="G142" s="49"/>
      <c r="H142" s="49"/>
      <c r="I142" s="50"/>
      <c r="J142" s="50"/>
      <c r="K142" s="50"/>
      <c r="L142" s="50"/>
      <c r="M142" s="50"/>
      <c r="N142" s="49" t="str">
        <f>IF(Tabla5[[#This Row],[VALOR INVERSIÓN]]="","",IF(Tabla5[[#This Row],[VALOR INVERSIÓN]]&lt;=10000000,100%*10%*22000,IF(AND(Tabla5[[#This Row],[VALOR INVERSIÓN]]&gt;10000000,Tabla5[[#This Row],[VALOR INVERSIÓN]]&lt;=20000000),60%*10%*22000,20%*10%*22000)))</f>
        <v/>
      </c>
      <c r="O142" s="49" t="str">
        <f>IF(Tabla5[[#This Row],[ROI (MESES)]]="","",IF(Tabla5[[#This Row],[ROI (MESES)]]="N/A","0",IF(Tabla5[[#This Row],[ROI (MESES)]]="&lt;=3",100%*10%*22000,IF(Tabla5[[#This Row],[ROI (MESES)]]="&gt;3&lt;=6",75%*10%*22000,25%*10%*22000))))</f>
        <v/>
      </c>
      <c r="P142" s="49" t="str">
        <f>IF(Tabla5[[#This Row],[FACILIDAD IMPLEM.]]="","",IF(Tabla5[[#This Row],[FACILIDAD IMPLEM.]]="A",100%*10%*22000,IF(AND(Tabla5[[#This Row],[FACILIDAD IMPLEM.]]="B"),50%*10%*22000,20%*10%*22000)))</f>
        <v/>
      </c>
      <c r="Q142" s="49">
        <f>Tabla5[[#This Row],[IMPACTO AMBIENTAL (Máx. 25%)]]*70%*22000+Tabla5[[#This Row],[IMPACTO ECONÓMICO (Máx. 25%)]]*70%*22000+Tabla5[[#This Row],[IMPACTO SST (Máx. 20%)]]*70%*22000+Tabla5[[#This Row],[IMPACTO PRODUCTIVIDAD (Máx. 25%)]]*70%*22000+Tabla5[[#This Row],[IMPACTO ORDEN Y ASEO (Máx. 5%)]]*70%*22000</f>
        <v>0</v>
      </c>
      <c r="R142" s="49" t="str">
        <f>IFERROR(Tabla5[[#This Row],[PUNTOS VALOR INVERSIÓN]]+Tabla5[[#This Row],[PUNTOS ROI ]]+Tabla5[[#This Row],[PUNTOS FACILIDAD IMPLEM. ]]+Tabla5[[#This Row],[PUNTOS IMPACTO ]],"")</f>
        <v/>
      </c>
      <c r="S142" s="54" t="s">
        <v>343</v>
      </c>
      <c r="T142" s="91"/>
      <c r="U142" s="91"/>
      <c r="V142" s="54"/>
      <c r="W142" s="54"/>
      <c r="X142" s="49"/>
      <c r="Y142" s="49"/>
    </row>
    <row r="143" spans="1:25" ht="27.6" x14ac:dyDescent="0.25">
      <c r="A143" s="47">
        <v>41942365</v>
      </c>
      <c r="B143" s="53" t="s">
        <v>296</v>
      </c>
      <c r="C143" s="49">
        <v>8063</v>
      </c>
      <c r="D143" s="49" t="s">
        <v>94</v>
      </c>
      <c r="E143" s="49" t="s">
        <v>62</v>
      </c>
      <c r="F143" s="107">
        <v>6000000</v>
      </c>
      <c r="G143" s="49" t="s">
        <v>83</v>
      </c>
      <c r="H143" s="49" t="s">
        <v>78</v>
      </c>
      <c r="I143" s="50">
        <v>0.12</v>
      </c>
      <c r="J143" s="50">
        <v>7.0000000000000007E-2</v>
      </c>
      <c r="K143" s="50">
        <v>0</v>
      </c>
      <c r="L143" s="50">
        <v>0</v>
      </c>
      <c r="M143" s="50">
        <v>0</v>
      </c>
      <c r="N143" s="49">
        <f>IF(Tabla5[[#This Row],[VALOR INVERSIÓN]]="","",IF(Tabla5[[#This Row],[VALOR INVERSIÓN]]&lt;=10000000,100%*10%*22000,IF(AND(Tabla5[[#This Row],[VALOR INVERSIÓN]]&gt;10000000,Tabla5[[#This Row],[VALOR INVERSIÓN]]&lt;=20000000),60%*10%*22000,20%*10%*22000)))</f>
        <v>2200</v>
      </c>
      <c r="O143" s="49">
        <f>IF(Tabla5[[#This Row],[ROI (MESES)]]="","",IF(Tabla5[[#This Row],[ROI (MESES)]]="N/A","0",IF(Tabla5[[#This Row],[ROI (MESES)]]="&lt;=3",100%*10%*22000,IF(Tabla5[[#This Row],[ROI (MESES)]]="&gt;3&lt;=6",75%*10%*22000,25%*10%*22000))))</f>
        <v>550</v>
      </c>
      <c r="P143" s="49">
        <f>IF(Tabla5[[#This Row],[FACILIDAD IMPLEM.]]="","",IF(Tabla5[[#This Row],[FACILIDAD IMPLEM.]]="A",100%*10%*22000,IF(AND(Tabla5[[#This Row],[FACILIDAD IMPLEM.]]="B"),50%*10%*22000,20%*10%*22000)))</f>
        <v>1100</v>
      </c>
      <c r="Q143" s="49">
        <f>Tabla5[[#This Row],[IMPACTO AMBIENTAL (Máx. 25%)]]*70%*22000+Tabla5[[#This Row],[IMPACTO ECONÓMICO (Máx. 25%)]]*70%*22000+Tabla5[[#This Row],[IMPACTO SST (Máx. 20%)]]*70%*22000+Tabla5[[#This Row],[IMPACTO PRODUCTIVIDAD (Máx. 25%)]]*70%*22000+Tabla5[[#This Row],[IMPACTO ORDEN Y ASEO (Máx. 5%)]]*70%*22000</f>
        <v>2926</v>
      </c>
      <c r="R143" s="49">
        <f>IFERROR(Tabla5[[#This Row],[PUNTOS VALOR INVERSIÓN]]+Tabla5[[#This Row],[PUNTOS ROI ]]+Tabla5[[#This Row],[PUNTOS FACILIDAD IMPLEM. ]]+Tabla5[[#This Row],[PUNTOS IMPACTO ]],"")</f>
        <v>6776</v>
      </c>
      <c r="S143" s="54" t="s">
        <v>344</v>
      </c>
      <c r="T143" s="91" t="s">
        <v>94</v>
      </c>
      <c r="U143" s="91" t="s">
        <v>89</v>
      </c>
      <c r="V143" s="54" t="s">
        <v>345</v>
      </c>
      <c r="W143" s="54" t="s">
        <v>341</v>
      </c>
      <c r="X143" s="91" t="s">
        <v>317</v>
      </c>
      <c r="Y143" s="49" t="s">
        <v>132</v>
      </c>
    </row>
    <row r="144" spans="1:25" x14ac:dyDescent="0.25">
      <c r="A144" s="47">
        <v>43990602</v>
      </c>
      <c r="B144" s="53" t="s">
        <v>346</v>
      </c>
      <c r="C144" s="49">
        <v>8061</v>
      </c>
      <c r="D144" s="49" t="s">
        <v>94</v>
      </c>
      <c r="E144" s="49" t="s">
        <v>62</v>
      </c>
      <c r="F144" s="107">
        <v>0</v>
      </c>
      <c r="G144" s="49" t="s">
        <v>63</v>
      </c>
      <c r="H144" s="49" t="s">
        <v>73</v>
      </c>
      <c r="I144" s="50">
        <v>0</v>
      </c>
      <c r="J144" s="50">
        <v>0</v>
      </c>
      <c r="K144" s="50">
        <v>0</v>
      </c>
      <c r="L144" s="50">
        <v>0</v>
      </c>
      <c r="M144" s="50">
        <v>0</v>
      </c>
      <c r="N144" s="49">
        <f>IF(Tabla5[[#This Row],[VALOR INVERSIÓN]]="","",IF(Tabla5[[#This Row],[VALOR INVERSIÓN]]&lt;=10000000,100%*10%*22000,IF(AND(Tabla5[[#This Row],[VALOR INVERSIÓN]]&gt;10000000,Tabla5[[#This Row],[VALOR INVERSIÓN]]&lt;=20000000),60%*10%*22000,20%*10%*22000)))</f>
        <v>2200</v>
      </c>
      <c r="O144" s="49" t="str">
        <f>IF(Tabla5[[#This Row],[ROI (MESES)]]="","",IF(Tabla5[[#This Row],[ROI (MESES)]]="N/A","0",IF(Tabla5[[#This Row],[ROI (MESES)]]="&lt;=3",100%*10%*22000,IF(Tabla5[[#This Row],[ROI (MESES)]]="&gt;3&lt;=6",75%*10%*22000,25%*10%*22000))))</f>
        <v>0</v>
      </c>
      <c r="P144" s="49">
        <f>IF(Tabla5[[#This Row],[FACILIDAD IMPLEM.]]="","",IF(Tabla5[[#This Row],[FACILIDAD IMPLEM.]]="A",100%*10%*22000,IF(AND(Tabla5[[#This Row],[FACILIDAD IMPLEM.]]="B"),50%*10%*22000,20%*10%*22000)))</f>
        <v>2200</v>
      </c>
      <c r="Q144" s="49">
        <f>Tabla5[[#This Row],[IMPACTO AMBIENTAL (Máx. 25%)]]*70%*22000+Tabla5[[#This Row],[IMPACTO ECONÓMICO (Máx. 25%)]]*70%*22000+Tabla5[[#This Row],[IMPACTO SST (Máx. 20%)]]*70%*22000+Tabla5[[#This Row],[IMPACTO PRODUCTIVIDAD (Máx. 25%)]]*70%*22000+Tabla5[[#This Row],[IMPACTO ORDEN Y ASEO (Máx. 5%)]]*70%*22000</f>
        <v>0</v>
      </c>
      <c r="R144" s="49">
        <f>IFERROR(Tabla5[[#This Row],[PUNTOS VALOR INVERSIÓN]]+Tabla5[[#This Row],[PUNTOS ROI ]]+Tabla5[[#This Row],[PUNTOS FACILIDAD IMPLEM. ]]+Tabla5[[#This Row],[PUNTOS IMPACTO ]],"")</f>
        <v>4400</v>
      </c>
      <c r="S144" s="54" t="s">
        <v>347</v>
      </c>
      <c r="T144" s="91" t="s">
        <v>94</v>
      </c>
      <c r="U144" s="91" t="s">
        <v>66</v>
      </c>
      <c r="V144" s="54" t="s">
        <v>348</v>
      </c>
      <c r="W144" s="54" t="s">
        <v>349</v>
      </c>
      <c r="X144" s="91" t="s">
        <v>69</v>
      </c>
      <c r="Y144" s="49" t="s">
        <v>55</v>
      </c>
    </row>
    <row r="145" spans="1:25" ht="27.6" hidden="1" x14ac:dyDescent="0.25">
      <c r="A145" s="47">
        <v>1035910024</v>
      </c>
      <c r="B145" s="53" t="s">
        <v>328</v>
      </c>
      <c r="C145" s="49">
        <v>8062</v>
      </c>
      <c r="D145" s="49" t="s">
        <v>94</v>
      </c>
      <c r="E145" s="49" t="s">
        <v>55</v>
      </c>
      <c r="F145" s="92"/>
      <c r="G145" s="49"/>
      <c r="H145" s="49"/>
      <c r="I145" s="50"/>
      <c r="J145" s="50"/>
      <c r="K145" s="50"/>
      <c r="L145" s="50"/>
      <c r="M145" s="50"/>
      <c r="N145" s="49" t="str">
        <f>IF(Tabla5[[#This Row],[VALOR INVERSIÓN]]="","",IF(Tabla5[[#This Row],[VALOR INVERSIÓN]]&lt;=10000000,100%*10%*22000,IF(AND(Tabla5[[#This Row],[VALOR INVERSIÓN]]&gt;10000000,Tabla5[[#This Row],[VALOR INVERSIÓN]]&lt;=20000000),60%*10%*22000,20%*10%*22000)))</f>
        <v/>
      </c>
      <c r="O145" s="49" t="str">
        <f>IF(Tabla5[[#This Row],[ROI (MESES)]]="","",IF(Tabla5[[#This Row],[ROI (MESES)]]="N/A","0",IF(Tabla5[[#This Row],[ROI (MESES)]]="&lt;=3",100%*10%*22000,IF(Tabla5[[#This Row],[ROI (MESES)]]="&gt;3&lt;=6",75%*10%*22000,25%*10%*22000))))</f>
        <v/>
      </c>
      <c r="P145" s="49" t="str">
        <f>IF(Tabla5[[#This Row],[FACILIDAD IMPLEM.]]="","",IF(Tabla5[[#This Row],[FACILIDAD IMPLEM.]]="A",100%*10%*22000,IF(AND(Tabla5[[#This Row],[FACILIDAD IMPLEM.]]="B"),50%*10%*22000,20%*10%*22000)))</f>
        <v/>
      </c>
      <c r="Q145" s="49">
        <f>Tabla5[[#This Row],[IMPACTO AMBIENTAL (Máx. 25%)]]*70%*22000+Tabla5[[#This Row],[IMPACTO ECONÓMICO (Máx. 25%)]]*70%*22000+Tabla5[[#This Row],[IMPACTO SST (Máx. 20%)]]*70%*22000+Tabla5[[#This Row],[IMPACTO PRODUCTIVIDAD (Máx. 25%)]]*70%*22000+Tabla5[[#This Row],[IMPACTO ORDEN Y ASEO (Máx. 5%)]]*70%*22000</f>
        <v>0</v>
      </c>
      <c r="R145" s="49" t="str">
        <f>IFERROR(Tabla5[[#This Row],[PUNTOS VALOR INVERSIÓN]]+Tabla5[[#This Row],[PUNTOS ROI ]]+Tabla5[[#This Row],[PUNTOS FACILIDAD IMPLEM. ]]+Tabla5[[#This Row],[PUNTOS IMPACTO ]],"")</f>
        <v/>
      </c>
      <c r="S145" s="54" t="s">
        <v>350</v>
      </c>
      <c r="T145" s="91"/>
      <c r="U145" s="91"/>
      <c r="V145" s="54"/>
      <c r="W145" s="54"/>
      <c r="X145" s="49"/>
      <c r="Y145" s="49"/>
    </row>
    <row r="146" spans="1:25" x14ac:dyDescent="0.25">
      <c r="A146" s="47">
        <v>43990602</v>
      </c>
      <c r="B146" s="53" t="s">
        <v>346</v>
      </c>
      <c r="C146" s="49">
        <v>8069</v>
      </c>
      <c r="D146" s="49" t="s">
        <v>94</v>
      </c>
      <c r="E146" s="49" t="s">
        <v>62</v>
      </c>
      <c r="F146" s="107">
        <v>2000000</v>
      </c>
      <c r="G146" s="49" t="s">
        <v>83</v>
      </c>
      <c r="H146" s="49" t="s">
        <v>78</v>
      </c>
      <c r="I146" s="50">
        <v>0.05</v>
      </c>
      <c r="J146" s="50">
        <v>0.03</v>
      </c>
      <c r="K146" s="50">
        <v>0</v>
      </c>
      <c r="L146" s="50">
        <v>0</v>
      </c>
      <c r="M146" s="50">
        <v>0</v>
      </c>
      <c r="N146" s="49">
        <f>IF(Tabla5[[#This Row],[VALOR INVERSIÓN]]="","",IF(Tabla5[[#This Row],[VALOR INVERSIÓN]]&lt;=10000000,100%*10%*22000,IF(AND(Tabla5[[#This Row],[VALOR INVERSIÓN]]&gt;10000000,Tabla5[[#This Row],[VALOR INVERSIÓN]]&lt;=20000000),60%*10%*22000,20%*10%*22000)))</f>
        <v>2200</v>
      </c>
      <c r="O146" s="49">
        <f>IF(Tabla5[[#This Row],[ROI (MESES)]]="","",IF(Tabla5[[#This Row],[ROI (MESES)]]="N/A","0",IF(Tabla5[[#This Row],[ROI (MESES)]]="&lt;=3",100%*10%*22000,IF(Tabla5[[#This Row],[ROI (MESES)]]="&gt;3&lt;=6",75%*10%*22000,25%*10%*22000))))</f>
        <v>550</v>
      </c>
      <c r="P146" s="49">
        <f>IF(Tabla5[[#This Row],[FACILIDAD IMPLEM.]]="","",IF(Tabla5[[#This Row],[FACILIDAD IMPLEM.]]="A",100%*10%*22000,IF(AND(Tabla5[[#This Row],[FACILIDAD IMPLEM.]]="B"),50%*10%*22000,20%*10%*22000)))</f>
        <v>1100</v>
      </c>
      <c r="Q146" s="49">
        <f>Tabla5[[#This Row],[IMPACTO AMBIENTAL (Máx. 25%)]]*70%*22000+Tabla5[[#This Row],[IMPACTO ECONÓMICO (Máx. 25%)]]*70%*22000+Tabla5[[#This Row],[IMPACTO SST (Máx. 20%)]]*70%*22000+Tabla5[[#This Row],[IMPACTO PRODUCTIVIDAD (Máx. 25%)]]*70%*22000+Tabla5[[#This Row],[IMPACTO ORDEN Y ASEO (Máx. 5%)]]*70%*22000</f>
        <v>1231.9999999999998</v>
      </c>
      <c r="R146" s="49">
        <f>IFERROR(Tabla5[[#This Row],[PUNTOS VALOR INVERSIÓN]]+Tabla5[[#This Row],[PUNTOS ROI ]]+Tabla5[[#This Row],[PUNTOS FACILIDAD IMPLEM. ]]+Tabla5[[#This Row],[PUNTOS IMPACTO ]],"")</f>
        <v>5082</v>
      </c>
      <c r="S146" s="54" t="s">
        <v>351</v>
      </c>
      <c r="T146" s="91" t="s">
        <v>94</v>
      </c>
      <c r="U146" s="91" t="s">
        <v>89</v>
      </c>
      <c r="V146" s="54" t="s">
        <v>352</v>
      </c>
      <c r="W146" s="54" t="s">
        <v>353</v>
      </c>
      <c r="X146" s="91" t="s">
        <v>317</v>
      </c>
      <c r="Y146" s="49" t="s">
        <v>132</v>
      </c>
    </row>
    <row r="147" spans="1:25" x14ac:dyDescent="0.25">
      <c r="A147" s="47">
        <v>75080238</v>
      </c>
      <c r="B147" s="53" t="s">
        <v>338</v>
      </c>
      <c r="C147" s="49">
        <v>8232</v>
      </c>
      <c r="D147" s="49" t="s">
        <v>94</v>
      </c>
      <c r="E147" s="49" t="s">
        <v>62</v>
      </c>
      <c r="F147" s="107">
        <v>5000000</v>
      </c>
      <c r="G147" s="49" t="s">
        <v>83</v>
      </c>
      <c r="H147" s="49" t="s">
        <v>78</v>
      </c>
      <c r="I147" s="50">
        <v>0</v>
      </c>
      <c r="J147" s="50">
        <v>7.0000000000000007E-2</v>
      </c>
      <c r="K147" s="50">
        <v>0</v>
      </c>
      <c r="L147" s="50">
        <v>0</v>
      </c>
      <c r="M147" s="50">
        <v>0</v>
      </c>
      <c r="N147" s="49">
        <f>IF(Tabla5[[#This Row],[VALOR INVERSIÓN]]="","",IF(Tabla5[[#This Row],[VALOR INVERSIÓN]]&lt;=10000000,100%*10%*22000,IF(AND(Tabla5[[#This Row],[VALOR INVERSIÓN]]&gt;10000000,Tabla5[[#This Row],[VALOR INVERSIÓN]]&lt;=20000000),60%*10%*22000,20%*10%*22000)))</f>
        <v>2200</v>
      </c>
      <c r="O147" s="49">
        <f>IF(Tabla5[[#This Row],[ROI (MESES)]]="","",IF(Tabla5[[#This Row],[ROI (MESES)]]="N/A","0",IF(Tabla5[[#This Row],[ROI (MESES)]]="&lt;=3",100%*10%*22000,IF(Tabla5[[#This Row],[ROI (MESES)]]="&gt;3&lt;=6",75%*10%*22000,25%*10%*22000))))</f>
        <v>550</v>
      </c>
      <c r="P147" s="49">
        <f>IF(Tabla5[[#This Row],[FACILIDAD IMPLEM.]]="","",IF(Tabla5[[#This Row],[FACILIDAD IMPLEM.]]="A",100%*10%*22000,IF(AND(Tabla5[[#This Row],[FACILIDAD IMPLEM.]]="B"),50%*10%*22000,20%*10%*22000)))</f>
        <v>1100</v>
      </c>
      <c r="Q147" s="49">
        <f>Tabla5[[#This Row],[IMPACTO AMBIENTAL (Máx. 25%)]]*70%*22000+Tabla5[[#This Row],[IMPACTO ECONÓMICO (Máx. 25%)]]*70%*22000+Tabla5[[#This Row],[IMPACTO SST (Máx. 20%)]]*70%*22000+Tabla5[[#This Row],[IMPACTO PRODUCTIVIDAD (Máx. 25%)]]*70%*22000+Tabla5[[#This Row],[IMPACTO ORDEN Y ASEO (Máx. 5%)]]*70%*22000</f>
        <v>1078</v>
      </c>
      <c r="R147" s="49">
        <f>IFERROR(Tabla5[[#This Row],[PUNTOS VALOR INVERSIÓN]]+Tabla5[[#This Row],[PUNTOS ROI ]]+Tabla5[[#This Row],[PUNTOS FACILIDAD IMPLEM. ]]+Tabla5[[#This Row],[PUNTOS IMPACTO ]],"")</f>
        <v>4928</v>
      </c>
      <c r="S147" s="54" t="s">
        <v>354</v>
      </c>
      <c r="T147" s="91" t="s">
        <v>94</v>
      </c>
      <c r="U147" s="91" t="s">
        <v>89</v>
      </c>
      <c r="V147" s="54" t="s">
        <v>355</v>
      </c>
      <c r="W147" s="54" t="s">
        <v>356</v>
      </c>
      <c r="X147" s="91" t="s">
        <v>317</v>
      </c>
      <c r="Y147" s="49" t="s">
        <v>132</v>
      </c>
    </row>
    <row r="148" spans="1:25" ht="27.6" hidden="1" x14ac:dyDescent="0.25">
      <c r="A148" s="47">
        <v>75080238</v>
      </c>
      <c r="B148" s="53" t="s">
        <v>338</v>
      </c>
      <c r="C148" s="49">
        <v>8066</v>
      </c>
      <c r="D148" s="49" t="s">
        <v>94</v>
      </c>
      <c r="E148" s="49" t="s">
        <v>55</v>
      </c>
      <c r="F148" s="92"/>
      <c r="G148" s="49"/>
      <c r="H148" s="49"/>
      <c r="I148" s="50"/>
      <c r="J148" s="50"/>
      <c r="K148" s="50"/>
      <c r="L148" s="50"/>
      <c r="M148" s="50"/>
      <c r="N148" s="49" t="str">
        <f>IF(Tabla5[[#This Row],[VALOR INVERSIÓN]]="","",IF(Tabla5[[#This Row],[VALOR INVERSIÓN]]&lt;=10000000,100%*10%*22000,IF(AND(Tabla5[[#This Row],[VALOR INVERSIÓN]]&gt;10000000,Tabla5[[#This Row],[VALOR INVERSIÓN]]&lt;=20000000),60%*10%*22000,20%*10%*22000)))</f>
        <v/>
      </c>
      <c r="O148" s="49" t="str">
        <f>IF(Tabla5[[#This Row],[ROI (MESES)]]="","",IF(Tabla5[[#This Row],[ROI (MESES)]]="N/A","0",IF(Tabla5[[#This Row],[ROI (MESES)]]="&lt;=3",100%*10%*22000,IF(Tabla5[[#This Row],[ROI (MESES)]]="&gt;3&lt;=6",75%*10%*22000,25%*10%*22000))))</f>
        <v/>
      </c>
      <c r="P148" s="49" t="str">
        <f>IF(Tabla5[[#This Row],[FACILIDAD IMPLEM.]]="","",IF(Tabla5[[#This Row],[FACILIDAD IMPLEM.]]="A",100%*10%*22000,IF(AND(Tabla5[[#This Row],[FACILIDAD IMPLEM.]]="B"),50%*10%*22000,20%*10%*22000)))</f>
        <v/>
      </c>
      <c r="Q148" s="49">
        <f>Tabla5[[#This Row],[IMPACTO AMBIENTAL (Máx. 25%)]]*70%*22000+Tabla5[[#This Row],[IMPACTO ECONÓMICO (Máx. 25%)]]*70%*22000+Tabla5[[#This Row],[IMPACTO SST (Máx. 20%)]]*70%*22000+Tabla5[[#This Row],[IMPACTO PRODUCTIVIDAD (Máx. 25%)]]*70%*22000+Tabla5[[#This Row],[IMPACTO ORDEN Y ASEO (Máx. 5%)]]*70%*22000</f>
        <v>0</v>
      </c>
      <c r="R148" s="49" t="str">
        <f>IFERROR(Tabla5[[#This Row],[PUNTOS VALOR INVERSIÓN]]+Tabla5[[#This Row],[PUNTOS ROI ]]+Tabla5[[#This Row],[PUNTOS FACILIDAD IMPLEM. ]]+Tabla5[[#This Row],[PUNTOS IMPACTO ]],"")</f>
        <v/>
      </c>
      <c r="S148" s="54" t="s">
        <v>357</v>
      </c>
      <c r="T148" s="91"/>
      <c r="U148" s="91"/>
      <c r="V148" s="54"/>
      <c r="W148" s="54"/>
      <c r="X148" s="49"/>
      <c r="Y148" s="49"/>
    </row>
    <row r="149" spans="1:25" ht="27.6" hidden="1" x14ac:dyDescent="0.25">
      <c r="A149" s="47">
        <v>1026132871</v>
      </c>
      <c r="B149" s="53" t="s">
        <v>93</v>
      </c>
      <c r="C149" s="49">
        <v>8067</v>
      </c>
      <c r="D149" s="49" t="s">
        <v>94</v>
      </c>
      <c r="E149" s="49" t="s">
        <v>55</v>
      </c>
      <c r="F149" s="92"/>
      <c r="G149" s="49"/>
      <c r="H149" s="49"/>
      <c r="I149" s="50"/>
      <c r="J149" s="50"/>
      <c r="K149" s="50"/>
      <c r="L149" s="50"/>
      <c r="M149" s="50"/>
      <c r="N149" s="49" t="str">
        <f>IF(Tabla5[[#This Row],[VALOR INVERSIÓN]]="","",IF(Tabla5[[#This Row],[VALOR INVERSIÓN]]&lt;=10000000,100%*10%*22000,IF(AND(Tabla5[[#This Row],[VALOR INVERSIÓN]]&gt;10000000,Tabla5[[#This Row],[VALOR INVERSIÓN]]&lt;=20000000),60%*10%*22000,20%*10%*22000)))</f>
        <v/>
      </c>
      <c r="O149" s="49" t="str">
        <f>IF(Tabla5[[#This Row],[ROI (MESES)]]="","",IF(Tabla5[[#This Row],[ROI (MESES)]]="N/A","0",IF(Tabla5[[#This Row],[ROI (MESES)]]="&lt;=3",100%*10%*22000,IF(Tabla5[[#This Row],[ROI (MESES)]]="&gt;3&lt;=6",75%*10%*22000,25%*10%*22000))))</f>
        <v/>
      </c>
      <c r="P149" s="49" t="str">
        <f>IF(Tabla5[[#This Row],[FACILIDAD IMPLEM.]]="","",IF(Tabla5[[#This Row],[FACILIDAD IMPLEM.]]="A",100%*10%*22000,IF(AND(Tabla5[[#This Row],[FACILIDAD IMPLEM.]]="B"),50%*10%*22000,20%*10%*22000)))</f>
        <v/>
      </c>
      <c r="Q149" s="49">
        <f>Tabla5[[#This Row],[IMPACTO AMBIENTAL (Máx. 25%)]]*70%*22000+Tabla5[[#This Row],[IMPACTO ECONÓMICO (Máx. 25%)]]*70%*22000+Tabla5[[#This Row],[IMPACTO SST (Máx. 20%)]]*70%*22000+Tabla5[[#This Row],[IMPACTO PRODUCTIVIDAD (Máx. 25%)]]*70%*22000+Tabla5[[#This Row],[IMPACTO ORDEN Y ASEO (Máx. 5%)]]*70%*22000</f>
        <v>0</v>
      </c>
      <c r="R149" s="49" t="str">
        <f>IFERROR(Tabla5[[#This Row],[PUNTOS VALOR INVERSIÓN]]+Tabla5[[#This Row],[PUNTOS ROI ]]+Tabla5[[#This Row],[PUNTOS FACILIDAD IMPLEM. ]]+Tabla5[[#This Row],[PUNTOS IMPACTO ]],"")</f>
        <v/>
      </c>
      <c r="S149" s="54" t="s">
        <v>358</v>
      </c>
      <c r="T149" s="91"/>
      <c r="U149" s="91"/>
      <c r="V149" s="54"/>
      <c r="W149" s="54"/>
      <c r="X149" s="49"/>
      <c r="Y149" s="49"/>
    </row>
    <row r="150" spans="1:25" ht="41.4" hidden="1" x14ac:dyDescent="0.25">
      <c r="A150" s="47">
        <v>1032364015</v>
      </c>
      <c r="B150" s="53" t="s">
        <v>359</v>
      </c>
      <c r="C150" s="49">
        <v>8068</v>
      </c>
      <c r="D150" s="49" t="s">
        <v>94</v>
      </c>
      <c r="E150" s="49" t="s">
        <v>55</v>
      </c>
      <c r="F150" s="92"/>
      <c r="G150" s="49"/>
      <c r="H150" s="49"/>
      <c r="I150" s="50"/>
      <c r="J150" s="50"/>
      <c r="K150" s="50"/>
      <c r="L150" s="50"/>
      <c r="M150" s="50"/>
      <c r="N150" s="49" t="str">
        <f>IF(Tabla5[[#This Row],[VALOR INVERSIÓN]]="","",IF(Tabla5[[#This Row],[VALOR INVERSIÓN]]&lt;=10000000,100%*10%*22000,IF(AND(Tabla5[[#This Row],[VALOR INVERSIÓN]]&gt;10000000,Tabla5[[#This Row],[VALOR INVERSIÓN]]&lt;=20000000),60%*10%*22000,20%*10%*22000)))</f>
        <v/>
      </c>
      <c r="O150" s="49" t="str">
        <f>IF(Tabla5[[#This Row],[ROI (MESES)]]="","",IF(Tabla5[[#This Row],[ROI (MESES)]]="N/A","0",IF(Tabla5[[#This Row],[ROI (MESES)]]="&lt;=3",100%*10%*22000,IF(Tabla5[[#This Row],[ROI (MESES)]]="&gt;3&lt;=6",75%*10%*22000,25%*10%*22000))))</f>
        <v/>
      </c>
      <c r="P150" s="49" t="str">
        <f>IF(Tabla5[[#This Row],[FACILIDAD IMPLEM.]]="","",IF(Tabla5[[#This Row],[FACILIDAD IMPLEM.]]="A",100%*10%*22000,IF(AND(Tabla5[[#This Row],[FACILIDAD IMPLEM.]]="B"),50%*10%*22000,20%*10%*22000)))</f>
        <v/>
      </c>
      <c r="Q150" s="49">
        <f>Tabla5[[#This Row],[IMPACTO AMBIENTAL (Máx. 25%)]]*70%*22000+Tabla5[[#This Row],[IMPACTO ECONÓMICO (Máx. 25%)]]*70%*22000+Tabla5[[#This Row],[IMPACTO SST (Máx. 20%)]]*70%*22000+Tabla5[[#This Row],[IMPACTO PRODUCTIVIDAD (Máx. 25%)]]*70%*22000+Tabla5[[#This Row],[IMPACTO ORDEN Y ASEO (Máx. 5%)]]*70%*22000</f>
        <v>0</v>
      </c>
      <c r="R150" s="49" t="str">
        <f>IFERROR(Tabla5[[#This Row],[PUNTOS VALOR INVERSIÓN]]+Tabla5[[#This Row],[PUNTOS ROI ]]+Tabla5[[#This Row],[PUNTOS FACILIDAD IMPLEM. ]]+Tabla5[[#This Row],[PUNTOS IMPACTO ]],"")</f>
        <v/>
      </c>
      <c r="S150" s="54" t="s">
        <v>360</v>
      </c>
      <c r="T150" s="91"/>
      <c r="U150" s="91"/>
      <c r="V150" s="54"/>
      <c r="W150" s="54"/>
      <c r="X150" s="49"/>
      <c r="Y150" s="49"/>
    </row>
    <row r="151" spans="1:25" ht="27.6" x14ac:dyDescent="0.25">
      <c r="A151" s="47">
        <v>1036952208</v>
      </c>
      <c r="B151" s="53" t="s">
        <v>272</v>
      </c>
      <c r="C151" s="49">
        <v>7554</v>
      </c>
      <c r="D151" s="49" t="s">
        <v>218</v>
      </c>
      <c r="E151" s="49" t="s">
        <v>62</v>
      </c>
      <c r="F151" s="107">
        <v>10000000</v>
      </c>
      <c r="G151" s="49" t="s">
        <v>83</v>
      </c>
      <c r="H151" s="49" t="s">
        <v>78</v>
      </c>
      <c r="I151" s="50">
        <v>0</v>
      </c>
      <c r="J151" s="50">
        <v>0.05</v>
      </c>
      <c r="K151" s="50">
        <v>0</v>
      </c>
      <c r="L151" s="50">
        <v>0.05</v>
      </c>
      <c r="M151" s="50">
        <v>0.01</v>
      </c>
      <c r="N151" s="49">
        <f>IF(Tabla5[[#This Row],[VALOR INVERSIÓN]]="","",IF(Tabla5[[#This Row],[VALOR INVERSIÓN]]&lt;=10000000,100%*10%*22000,IF(AND(Tabla5[[#This Row],[VALOR INVERSIÓN]]&gt;10000000,Tabla5[[#This Row],[VALOR INVERSIÓN]]&lt;=20000000),60%*10%*22000,20%*10%*22000)))</f>
        <v>2200</v>
      </c>
      <c r="O151" s="49">
        <f>IF(Tabla5[[#This Row],[ROI (MESES)]]="","",IF(Tabla5[[#This Row],[ROI (MESES)]]="N/A","0",IF(Tabla5[[#This Row],[ROI (MESES)]]="&lt;=3",100%*10%*22000,IF(Tabla5[[#This Row],[ROI (MESES)]]="&gt;3&lt;=6",75%*10%*22000,25%*10%*22000))))</f>
        <v>550</v>
      </c>
      <c r="P151" s="49">
        <f>IF(Tabla5[[#This Row],[FACILIDAD IMPLEM.]]="","",IF(Tabla5[[#This Row],[FACILIDAD IMPLEM.]]="A",100%*10%*22000,IF(AND(Tabla5[[#This Row],[FACILIDAD IMPLEM.]]="B"),50%*10%*22000,20%*10%*22000)))</f>
        <v>1100</v>
      </c>
      <c r="Q151" s="49">
        <f>Tabla5[[#This Row],[IMPACTO AMBIENTAL (Máx. 25%)]]*70%*22000+Tabla5[[#This Row],[IMPACTO ECONÓMICO (Máx. 25%)]]*70%*22000+Tabla5[[#This Row],[IMPACTO SST (Máx. 20%)]]*70%*22000+Tabla5[[#This Row],[IMPACTO PRODUCTIVIDAD (Máx. 25%)]]*70%*22000+Tabla5[[#This Row],[IMPACTO ORDEN Y ASEO (Máx. 5%)]]*70%*22000</f>
        <v>1693.9999999999998</v>
      </c>
      <c r="R151" s="49">
        <f>IFERROR(Tabla5[[#This Row],[PUNTOS VALOR INVERSIÓN]]+Tabla5[[#This Row],[PUNTOS ROI ]]+Tabla5[[#This Row],[PUNTOS FACILIDAD IMPLEM. ]]+Tabla5[[#This Row],[PUNTOS IMPACTO ]],"")</f>
        <v>5544</v>
      </c>
      <c r="S151" s="54" t="s">
        <v>361</v>
      </c>
      <c r="T151" s="91" t="s">
        <v>94</v>
      </c>
      <c r="U151" s="91" t="s">
        <v>89</v>
      </c>
      <c r="V151" s="54" t="s">
        <v>362</v>
      </c>
      <c r="W151" s="54" t="s">
        <v>363</v>
      </c>
      <c r="X151" s="91" t="s">
        <v>322</v>
      </c>
      <c r="Y151" s="49" t="s">
        <v>105</v>
      </c>
    </row>
    <row r="152" spans="1:25" hidden="1" x14ac:dyDescent="0.25">
      <c r="A152" s="47">
        <v>59834499</v>
      </c>
      <c r="B152" s="53" t="s">
        <v>56</v>
      </c>
      <c r="C152" s="49">
        <v>8070</v>
      </c>
      <c r="D152" s="49" t="s">
        <v>57</v>
      </c>
      <c r="E152" s="49" t="s">
        <v>55</v>
      </c>
      <c r="F152" s="92"/>
      <c r="G152" s="49"/>
      <c r="H152" s="49"/>
      <c r="I152" s="50"/>
      <c r="J152" s="50"/>
      <c r="K152" s="50"/>
      <c r="L152" s="50"/>
      <c r="M152" s="50"/>
      <c r="N152" s="49" t="str">
        <f>IF(Tabla5[[#This Row],[VALOR INVERSIÓN]]="","",IF(Tabla5[[#This Row],[VALOR INVERSIÓN]]&lt;=10000000,100%*10%*22000,IF(AND(Tabla5[[#This Row],[VALOR INVERSIÓN]]&gt;10000000,Tabla5[[#This Row],[VALOR INVERSIÓN]]&lt;=20000000),60%*10%*22000,20%*10%*22000)))</f>
        <v/>
      </c>
      <c r="O152" s="49" t="str">
        <f>IF(Tabla5[[#This Row],[ROI (MESES)]]="","",IF(Tabla5[[#This Row],[ROI (MESES)]]="N/A","0",IF(Tabla5[[#This Row],[ROI (MESES)]]="&lt;=3",100%*10%*22000,IF(Tabla5[[#This Row],[ROI (MESES)]]="&gt;3&lt;=6",75%*10%*22000,25%*10%*22000))))</f>
        <v/>
      </c>
      <c r="P152" s="49" t="str">
        <f>IF(Tabla5[[#This Row],[FACILIDAD IMPLEM.]]="","",IF(Tabla5[[#This Row],[FACILIDAD IMPLEM.]]="A",100%*10%*22000,IF(AND(Tabla5[[#This Row],[FACILIDAD IMPLEM.]]="B"),50%*10%*22000,20%*10%*22000)))</f>
        <v/>
      </c>
      <c r="Q152" s="49">
        <f>Tabla5[[#This Row],[IMPACTO AMBIENTAL (Máx. 25%)]]*70%*22000+Tabla5[[#This Row],[IMPACTO ECONÓMICO (Máx. 25%)]]*70%*22000+Tabla5[[#This Row],[IMPACTO SST (Máx. 20%)]]*70%*22000+Tabla5[[#This Row],[IMPACTO PRODUCTIVIDAD (Máx. 25%)]]*70%*22000+Tabla5[[#This Row],[IMPACTO ORDEN Y ASEO (Máx. 5%)]]*70%*22000</f>
        <v>0</v>
      </c>
      <c r="R152" s="49" t="str">
        <f>IFERROR(Tabla5[[#This Row],[PUNTOS VALOR INVERSIÓN]]+Tabla5[[#This Row],[PUNTOS ROI ]]+Tabla5[[#This Row],[PUNTOS FACILIDAD IMPLEM. ]]+Tabla5[[#This Row],[PUNTOS IMPACTO ]],"")</f>
        <v/>
      </c>
      <c r="S152" s="54"/>
      <c r="T152" s="91"/>
      <c r="U152" s="91"/>
      <c r="V152" s="54"/>
      <c r="W152" s="54"/>
      <c r="X152" s="49"/>
      <c r="Y152" s="49"/>
    </row>
    <row r="153" spans="1:25" ht="27.6" hidden="1" x14ac:dyDescent="0.25">
      <c r="A153" s="47">
        <v>1046667722</v>
      </c>
      <c r="B153" s="53" t="s">
        <v>312</v>
      </c>
      <c r="C153" s="49">
        <v>8071</v>
      </c>
      <c r="D153" s="49" t="s">
        <v>94</v>
      </c>
      <c r="E153" s="49" t="s">
        <v>55</v>
      </c>
      <c r="F153" s="92"/>
      <c r="G153" s="49"/>
      <c r="H153" s="49"/>
      <c r="I153" s="50"/>
      <c r="J153" s="50"/>
      <c r="K153" s="50"/>
      <c r="L153" s="50"/>
      <c r="M153" s="50"/>
      <c r="N153" s="49" t="str">
        <f>IF(Tabla5[[#This Row],[VALOR INVERSIÓN]]="","",IF(Tabla5[[#This Row],[VALOR INVERSIÓN]]&lt;=10000000,100%*10%*22000,IF(AND(Tabla5[[#This Row],[VALOR INVERSIÓN]]&gt;10000000,Tabla5[[#This Row],[VALOR INVERSIÓN]]&lt;=20000000),60%*10%*22000,20%*10%*22000)))</f>
        <v/>
      </c>
      <c r="O153" s="49" t="str">
        <f>IF(Tabla5[[#This Row],[ROI (MESES)]]="","",IF(Tabla5[[#This Row],[ROI (MESES)]]="N/A","0",IF(Tabla5[[#This Row],[ROI (MESES)]]="&lt;=3",100%*10%*22000,IF(Tabla5[[#This Row],[ROI (MESES)]]="&gt;3&lt;=6",75%*10%*22000,25%*10%*22000))))</f>
        <v/>
      </c>
      <c r="P153" s="49" t="str">
        <f>IF(Tabla5[[#This Row],[FACILIDAD IMPLEM.]]="","",IF(Tabla5[[#This Row],[FACILIDAD IMPLEM.]]="A",100%*10%*22000,IF(AND(Tabla5[[#This Row],[FACILIDAD IMPLEM.]]="B"),50%*10%*22000,20%*10%*22000)))</f>
        <v/>
      </c>
      <c r="Q153" s="49">
        <f>Tabla5[[#This Row],[IMPACTO AMBIENTAL (Máx. 25%)]]*70%*22000+Tabla5[[#This Row],[IMPACTO ECONÓMICO (Máx. 25%)]]*70%*22000+Tabla5[[#This Row],[IMPACTO SST (Máx. 20%)]]*70%*22000+Tabla5[[#This Row],[IMPACTO PRODUCTIVIDAD (Máx. 25%)]]*70%*22000+Tabla5[[#This Row],[IMPACTO ORDEN Y ASEO (Máx. 5%)]]*70%*22000</f>
        <v>0</v>
      </c>
      <c r="R153" s="49" t="str">
        <f>IFERROR(Tabla5[[#This Row],[PUNTOS VALOR INVERSIÓN]]+Tabla5[[#This Row],[PUNTOS ROI ]]+Tabla5[[#This Row],[PUNTOS FACILIDAD IMPLEM. ]]+Tabla5[[#This Row],[PUNTOS IMPACTO ]],"")</f>
        <v/>
      </c>
      <c r="S153" s="54" t="s">
        <v>364</v>
      </c>
      <c r="T153" s="91"/>
      <c r="U153" s="91"/>
      <c r="V153" s="54"/>
      <c r="W153" s="54"/>
      <c r="X153" s="49"/>
      <c r="Y153" s="49"/>
    </row>
    <row r="154" spans="1:25" hidden="1" x14ac:dyDescent="0.25">
      <c r="A154" s="47">
        <v>17685011</v>
      </c>
      <c r="B154" s="53" t="s">
        <v>160</v>
      </c>
      <c r="C154" s="49">
        <v>8201</v>
      </c>
      <c r="D154" s="49" t="s">
        <v>119</v>
      </c>
      <c r="E154" s="49" t="s">
        <v>55</v>
      </c>
      <c r="F154" s="92"/>
      <c r="G154" s="49"/>
      <c r="H154" s="49"/>
      <c r="I154" s="50"/>
      <c r="J154" s="50"/>
      <c r="K154" s="50"/>
      <c r="L154" s="50"/>
      <c r="M154" s="50"/>
      <c r="N154" s="49" t="str">
        <f>IF(Tabla5[[#This Row],[VALOR INVERSIÓN]]="","",IF(Tabla5[[#This Row],[VALOR INVERSIÓN]]&lt;=10000000,100%*10%*22000,IF(AND(Tabla5[[#This Row],[VALOR INVERSIÓN]]&gt;10000000,Tabla5[[#This Row],[VALOR INVERSIÓN]]&lt;=20000000),60%*10%*22000,20%*10%*22000)))</f>
        <v/>
      </c>
      <c r="O154" s="49" t="str">
        <f>IF(Tabla5[[#This Row],[ROI (MESES)]]="","",IF(Tabla5[[#This Row],[ROI (MESES)]]="N/A","0",IF(Tabla5[[#This Row],[ROI (MESES)]]="&lt;=3",100%*10%*22000,IF(Tabla5[[#This Row],[ROI (MESES)]]="&gt;3&lt;=6",75%*10%*22000,25%*10%*22000))))</f>
        <v/>
      </c>
      <c r="P154" s="49" t="str">
        <f>IF(Tabla5[[#This Row],[FACILIDAD IMPLEM.]]="","",IF(Tabla5[[#This Row],[FACILIDAD IMPLEM.]]="A",100%*10%*22000,IF(AND(Tabla5[[#This Row],[FACILIDAD IMPLEM.]]="B"),50%*10%*22000,20%*10%*22000)))</f>
        <v/>
      </c>
      <c r="Q154" s="49">
        <f>Tabla5[[#This Row],[IMPACTO AMBIENTAL (Máx. 25%)]]*70%*22000+Tabla5[[#This Row],[IMPACTO ECONÓMICO (Máx. 25%)]]*70%*22000+Tabla5[[#This Row],[IMPACTO SST (Máx. 20%)]]*70%*22000+Tabla5[[#This Row],[IMPACTO PRODUCTIVIDAD (Máx. 25%)]]*70%*22000+Tabla5[[#This Row],[IMPACTO ORDEN Y ASEO (Máx. 5%)]]*70%*22000</f>
        <v>0</v>
      </c>
      <c r="R154" s="49" t="str">
        <f>IFERROR(Tabla5[[#This Row],[PUNTOS VALOR INVERSIÓN]]+Tabla5[[#This Row],[PUNTOS ROI ]]+Tabla5[[#This Row],[PUNTOS FACILIDAD IMPLEM. ]]+Tabla5[[#This Row],[PUNTOS IMPACTO ]],"")</f>
        <v/>
      </c>
      <c r="S154" s="54" t="s">
        <v>365</v>
      </c>
      <c r="T154" s="91"/>
      <c r="U154" s="91"/>
      <c r="V154" s="54"/>
      <c r="W154" s="54"/>
      <c r="X154" s="49"/>
      <c r="Y154" s="49"/>
    </row>
    <row r="155" spans="1:25" ht="41.4" x14ac:dyDescent="0.25">
      <c r="A155" s="47">
        <v>1035919597</v>
      </c>
      <c r="B155" s="53" t="s">
        <v>148</v>
      </c>
      <c r="C155" s="49">
        <v>5368</v>
      </c>
      <c r="D155" s="49" t="s">
        <v>54</v>
      </c>
      <c r="E155" s="49" t="s">
        <v>62</v>
      </c>
      <c r="F155" s="107">
        <v>70000</v>
      </c>
      <c r="G155" s="49" t="s">
        <v>100</v>
      </c>
      <c r="H155" s="49" t="s">
        <v>73</v>
      </c>
      <c r="I155" s="50">
        <v>0</v>
      </c>
      <c r="J155" s="50">
        <v>0.05</v>
      </c>
      <c r="K155" s="50">
        <v>0.12</v>
      </c>
      <c r="L155" s="50">
        <v>0.05</v>
      </c>
      <c r="M155" s="50">
        <v>0</v>
      </c>
      <c r="N155" s="49">
        <f>IF(Tabla5[[#This Row],[VALOR INVERSIÓN]]="","",IF(Tabla5[[#This Row],[VALOR INVERSIÓN]]&lt;=10000000,100%*10%*22000,IF(AND(Tabla5[[#This Row],[VALOR INVERSIÓN]]&gt;10000000,Tabla5[[#This Row],[VALOR INVERSIÓN]]&lt;=20000000),60%*10%*22000,20%*10%*22000)))</f>
        <v>2200</v>
      </c>
      <c r="O155" s="49">
        <f>IF(Tabla5[[#This Row],[ROI (MESES)]]="","",IF(Tabla5[[#This Row],[ROI (MESES)]]="N/A","0",IF(Tabla5[[#This Row],[ROI (MESES)]]="&lt;=3",100%*10%*22000,IF(Tabla5[[#This Row],[ROI (MESES)]]="&gt;3&lt;=6",75%*10%*22000,25%*10%*22000))))</f>
        <v>2200</v>
      </c>
      <c r="P155" s="49">
        <f>IF(Tabla5[[#This Row],[FACILIDAD IMPLEM.]]="","",IF(Tabla5[[#This Row],[FACILIDAD IMPLEM.]]="A",100%*10%*22000,IF(AND(Tabla5[[#This Row],[FACILIDAD IMPLEM.]]="B"),50%*10%*22000,20%*10%*22000)))</f>
        <v>2200</v>
      </c>
      <c r="Q155" s="49">
        <f>Tabla5[[#This Row],[IMPACTO AMBIENTAL (Máx. 25%)]]*70%*22000+Tabla5[[#This Row],[IMPACTO ECONÓMICO (Máx. 25%)]]*70%*22000+Tabla5[[#This Row],[IMPACTO SST (Máx. 20%)]]*70%*22000+Tabla5[[#This Row],[IMPACTO PRODUCTIVIDAD (Máx. 25%)]]*70%*22000+Tabla5[[#This Row],[IMPACTO ORDEN Y ASEO (Máx. 5%)]]*70%*22000</f>
        <v>3387.9999999999995</v>
      </c>
      <c r="R155" s="49">
        <f>IFERROR(Tabla5[[#This Row],[PUNTOS VALOR INVERSIÓN]]+Tabla5[[#This Row],[PUNTOS ROI ]]+Tabla5[[#This Row],[PUNTOS FACILIDAD IMPLEM. ]]+Tabla5[[#This Row],[PUNTOS IMPACTO ]],"")</f>
        <v>9988</v>
      </c>
      <c r="S155" s="54" t="s">
        <v>101</v>
      </c>
      <c r="T155" s="91" t="s">
        <v>79</v>
      </c>
      <c r="U155" s="91" t="s">
        <v>89</v>
      </c>
      <c r="V155" s="54" t="s">
        <v>366</v>
      </c>
      <c r="W155" s="54" t="s">
        <v>367</v>
      </c>
      <c r="X155" s="91" t="s">
        <v>368</v>
      </c>
      <c r="Y155" s="49" t="s">
        <v>105</v>
      </c>
    </row>
    <row r="156" spans="1:25" hidden="1" x14ac:dyDescent="0.25">
      <c r="A156" s="47">
        <v>4116903</v>
      </c>
      <c r="B156" s="53" t="s">
        <v>125</v>
      </c>
      <c r="C156" s="49">
        <v>8392</v>
      </c>
      <c r="D156" s="49" t="s">
        <v>54</v>
      </c>
      <c r="E156" s="49" t="s">
        <v>55</v>
      </c>
      <c r="F156" s="92"/>
      <c r="G156" s="49"/>
      <c r="H156" s="49"/>
      <c r="I156" s="50"/>
      <c r="J156" s="50"/>
      <c r="K156" s="50"/>
      <c r="L156" s="50"/>
      <c r="M156" s="50"/>
      <c r="N156" s="49" t="str">
        <f>IF(Tabla5[[#This Row],[VALOR INVERSIÓN]]="","",IF(Tabla5[[#This Row],[VALOR INVERSIÓN]]&lt;=10000000,100%*10%*22000,IF(AND(Tabla5[[#This Row],[VALOR INVERSIÓN]]&gt;10000000,Tabla5[[#This Row],[VALOR INVERSIÓN]]&lt;=20000000),60%*10%*22000,20%*10%*22000)))</f>
        <v/>
      </c>
      <c r="O156" s="49" t="str">
        <f>IF(Tabla5[[#This Row],[ROI (MESES)]]="","",IF(Tabla5[[#This Row],[ROI (MESES)]]="N/A","0",IF(Tabla5[[#This Row],[ROI (MESES)]]="&lt;=3",100%*10%*22000,IF(Tabla5[[#This Row],[ROI (MESES)]]="&gt;3&lt;=6",75%*10%*22000,25%*10%*22000))))</f>
        <v/>
      </c>
      <c r="P156" s="49" t="str">
        <f>IF(Tabla5[[#This Row],[FACILIDAD IMPLEM.]]="","",IF(Tabla5[[#This Row],[FACILIDAD IMPLEM.]]="A",100%*10%*22000,IF(AND(Tabla5[[#This Row],[FACILIDAD IMPLEM.]]="B"),50%*10%*22000,20%*10%*22000)))</f>
        <v/>
      </c>
      <c r="Q156" s="49">
        <f>Tabla5[[#This Row],[IMPACTO AMBIENTAL (Máx. 25%)]]*70%*22000+Tabla5[[#This Row],[IMPACTO ECONÓMICO (Máx. 25%)]]*70%*22000+Tabla5[[#This Row],[IMPACTO SST (Máx. 20%)]]*70%*22000+Tabla5[[#This Row],[IMPACTO PRODUCTIVIDAD (Máx. 25%)]]*70%*22000+Tabla5[[#This Row],[IMPACTO ORDEN Y ASEO (Máx. 5%)]]*70%*22000</f>
        <v>0</v>
      </c>
      <c r="R156" s="49" t="str">
        <f>IFERROR(Tabla5[[#This Row],[PUNTOS VALOR INVERSIÓN]]+Tabla5[[#This Row],[PUNTOS ROI ]]+Tabla5[[#This Row],[PUNTOS FACILIDAD IMPLEM. ]]+Tabla5[[#This Row],[PUNTOS IMPACTO ]],"")</f>
        <v/>
      </c>
      <c r="S156" s="54" t="s">
        <v>369</v>
      </c>
      <c r="T156" s="91"/>
      <c r="U156" s="91"/>
      <c r="V156" s="54"/>
      <c r="W156" s="54"/>
      <c r="X156" s="49"/>
      <c r="Y156" s="49"/>
    </row>
    <row r="157" spans="1:25" ht="27.6" x14ac:dyDescent="0.25">
      <c r="A157" s="64">
        <v>1128479264</v>
      </c>
      <c r="B157" s="53" t="s">
        <v>146</v>
      </c>
      <c r="C157" s="49">
        <v>8961</v>
      </c>
      <c r="D157" s="49" t="s">
        <v>119</v>
      </c>
      <c r="E157" s="49" t="s">
        <v>62</v>
      </c>
      <c r="F157" s="107">
        <v>1500000</v>
      </c>
      <c r="G157" s="49" t="s">
        <v>63</v>
      </c>
      <c r="H157" s="49" t="s">
        <v>73</v>
      </c>
      <c r="I157" s="50">
        <v>0</v>
      </c>
      <c r="J157" s="50">
        <v>0</v>
      </c>
      <c r="K157" s="50">
        <v>0.03</v>
      </c>
      <c r="L157" s="50">
        <v>0</v>
      </c>
      <c r="M157" s="50">
        <v>0</v>
      </c>
      <c r="N157" s="49">
        <f>IF(Tabla5[[#This Row],[VALOR INVERSIÓN]]="","",IF(Tabla5[[#This Row],[VALOR INVERSIÓN]]&lt;=10000000,100%*10%*22000,IF(AND(Tabla5[[#This Row],[VALOR INVERSIÓN]]&gt;10000000,Tabla5[[#This Row],[VALOR INVERSIÓN]]&lt;=20000000),60%*10%*22000,20%*10%*22000)))</f>
        <v>2200</v>
      </c>
      <c r="O157" s="49" t="str">
        <f>IF(Tabla5[[#This Row],[ROI (MESES)]]="","",IF(Tabla5[[#This Row],[ROI (MESES)]]="N/A","0",IF(Tabla5[[#This Row],[ROI (MESES)]]="&lt;=3",100%*10%*22000,IF(Tabla5[[#This Row],[ROI (MESES)]]="&gt;3&lt;=6",75%*10%*22000,25%*10%*22000))))</f>
        <v>0</v>
      </c>
      <c r="P157" s="49">
        <f>IF(Tabla5[[#This Row],[FACILIDAD IMPLEM.]]="","",IF(Tabla5[[#This Row],[FACILIDAD IMPLEM.]]="A",100%*10%*22000,IF(AND(Tabla5[[#This Row],[FACILIDAD IMPLEM.]]="B"),50%*10%*22000,20%*10%*22000)))</f>
        <v>2200</v>
      </c>
      <c r="Q157" s="49">
        <f>Tabla5[[#This Row],[IMPACTO AMBIENTAL (Máx. 25%)]]*70%*22000+Tabla5[[#This Row],[IMPACTO ECONÓMICO (Máx. 25%)]]*70%*22000+Tabla5[[#This Row],[IMPACTO SST (Máx. 20%)]]*70%*22000+Tabla5[[#This Row],[IMPACTO PRODUCTIVIDAD (Máx. 25%)]]*70%*22000+Tabla5[[#This Row],[IMPACTO ORDEN Y ASEO (Máx. 5%)]]*70%*22000</f>
        <v>461.99999999999994</v>
      </c>
      <c r="R157" s="49">
        <f>IFERROR(Tabla5[[#This Row],[PUNTOS VALOR INVERSIÓN]]+Tabla5[[#This Row],[PUNTOS ROI ]]+Tabla5[[#This Row],[PUNTOS FACILIDAD IMPLEM. ]]+Tabla5[[#This Row],[PUNTOS IMPACTO ]],"")</f>
        <v>4862</v>
      </c>
      <c r="S157" s="54"/>
      <c r="T157" s="91" t="s">
        <v>65</v>
      </c>
      <c r="U157" s="91" t="s">
        <v>66</v>
      </c>
      <c r="V157" s="54" t="s">
        <v>370</v>
      </c>
      <c r="W157" s="54" t="s">
        <v>371</v>
      </c>
      <c r="X157" s="91" t="s">
        <v>372</v>
      </c>
      <c r="Y157" s="49" t="s">
        <v>77</v>
      </c>
    </row>
    <row r="158" spans="1:25" ht="44.25" customHeight="1" x14ac:dyDescent="0.25">
      <c r="A158" s="64">
        <v>1128479264</v>
      </c>
      <c r="B158" s="53" t="s">
        <v>146</v>
      </c>
      <c r="C158" s="49">
        <v>8962</v>
      </c>
      <c r="D158" s="49" t="s">
        <v>119</v>
      </c>
      <c r="E158" s="49" t="s">
        <v>62</v>
      </c>
      <c r="F158" s="107">
        <v>3000000</v>
      </c>
      <c r="G158" s="49" t="s">
        <v>83</v>
      </c>
      <c r="H158" s="49" t="s">
        <v>73</v>
      </c>
      <c r="I158" s="50">
        <v>0</v>
      </c>
      <c r="J158" s="50">
        <v>0.09</v>
      </c>
      <c r="K158" s="50">
        <v>0</v>
      </c>
      <c r="L158" s="50">
        <v>0</v>
      </c>
      <c r="M158" s="50">
        <v>0</v>
      </c>
      <c r="N158" s="49">
        <f>IF(Tabla5[[#This Row],[VALOR INVERSIÓN]]="","",IF(Tabla5[[#This Row],[VALOR INVERSIÓN]]&lt;=10000000,100%*10%*22000,IF(AND(Tabla5[[#This Row],[VALOR INVERSIÓN]]&gt;10000000,Tabla5[[#This Row],[VALOR INVERSIÓN]]&lt;=20000000),60%*10%*22000,20%*10%*22000)))</f>
        <v>2200</v>
      </c>
      <c r="O158" s="49">
        <f>IF(Tabla5[[#This Row],[ROI (MESES)]]="","",IF(Tabla5[[#This Row],[ROI (MESES)]]="N/A","0",IF(Tabla5[[#This Row],[ROI (MESES)]]="&lt;=3",100%*10%*22000,IF(Tabla5[[#This Row],[ROI (MESES)]]="&gt;3&lt;=6",75%*10%*22000,25%*10%*22000))))</f>
        <v>550</v>
      </c>
      <c r="P158" s="49">
        <f>IF(Tabla5[[#This Row],[FACILIDAD IMPLEM.]]="","",IF(Tabla5[[#This Row],[FACILIDAD IMPLEM.]]="A",100%*10%*22000,IF(AND(Tabla5[[#This Row],[FACILIDAD IMPLEM.]]="B"),50%*10%*22000,20%*10%*22000)))</f>
        <v>2200</v>
      </c>
      <c r="Q158" s="49">
        <f>Tabla5[[#This Row],[IMPACTO AMBIENTAL (Máx. 25%)]]*70%*22000+Tabla5[[#This Row],[IMPACTO ECONÓMICO (Máx. 25%)]]*70%*22000+Tabla5[[#This Row],[IMPACTO SST (Máx. 20%)]]*70%*22000+Tabla5[[#This Row],[IMPACTO PRODUCTIVIDAD (Máx. 25%)]]*70%*22000+Tabla5[[#This Row],[IMPACTO ORDEN Y ASEO (Máx. 5%)]]*70%*22000</f>
        <v>1386</v>
      </c>
      <c r="R158" s="49">
        <f>IFERROR(Tabla5[[#This Row],[PUNTOS VALOR INVERSIÓN]]+Tabla5[[#This Row],[PUNTOS ROI ]]+Tabla5[[#This Row],[PUNTOS FACILIDAD IMPLEM. ]]+Tabla5[[#This Row],[PUNTOS IMPACTO ]],"")</f>
        <v>6336</v>
      </c>
      <c r="S158" s="54"/>
      <c r="T158" s="91" t="s">
        <v>79</v>
      </c>
      <c r="U158" s="91" t="s">
        <v>110</v>
      </c>
      <c r="V158" s="54" t="s">
        <v>373</v>
      </c>
      <c r="W158" s="54" t="s">
        <v>374</v>
      </c>
      <c r="X158" s="91" t="s">
        <v>55</v>
      </c>
      <c r="Y158" s="49" t="s">
        <v>55</v>
      </c>
    </row>
    <row r="159" spans="1:25" ht="27.6" x14ac:dyDescent="0.25">
      <c r="A159" s="47">
        <v>71213380</v>
      </c>
      <c r="B159" s="53" t="s">
        <v>375</v>
      </c>
      <c r="C159" s="49">
        <v>8963</v>
      </c>
      <c r="D159" s="49" t="s">
        <v>54</v>
      </c>
      <c r="E159" s="49" t="s">
        <v>62</v>
      </c>
      <c r="F159" s="107">
        <v>300000</v>
      </c>
      <c r="G159" s="49" t="s">
        <v>63</v>
      </c>
      <c r="H159" s="49" t="s">
        <v>73</v>
      </c>
      <c r="I159" s="50">
        <v>0</v>
      </c>
      <c r="J159" s="50">
        <v>0</v>
      </c>
      <c r="K159" s="50">
        <v>0.05</v>
      </c>
      <c r="L159" s="50">
        <v>0</v>
      </c>
      <c r="M159" s="50">
        <v>0.03</v>
      </c>
      <c r="N159" s="49">
        <f>IF(Tabla5[[#This Row],[VALOR INVERSIÓN]]="","",IF(Tabla5[[#This Row],[VALOR INVERSIÓN]]&lt;=10000000,100%*10%*22000,IF(AND(Tabla5[[#This Row],[VALOR INVERSIÓN]]&gt;10000000,Tabla5[[#This Row],[VALOR INVERSIÓN]]&lt;=20000000),60%*10%*22000,20%*10%*22000)))</f>
        <v>2200</v>
      </c>
      <c r="O159" s="49" t="str">
        <f>IF(Tabla5[[#This Row],[ROI (MESES)]]="","",IF(Tabla5[[#This Row],[ROI (MESES)]]="N/A","0",IF(Tabla5[[#This Row],[ROI (MESES)]]="&lt;=3",100%*10%*22000,IF(Tabla5[[#This Row],[ROI (MESES)]]="&gt;3&lt;=6",75%*10%*22000,25%*10%*22000))))</f>
        <v>0</v>
      </c>
      <c r="P159" s="49">
        <f>IF(Tabla5[[#This Row],[FACILIDAD IMPLEM.]]="","",IF(Tabla5[[#This Row],[FACILIDAD IMPLEM.]]="A",100%*10%*22000,IF(AND(Tabla5[[#This Row],[FACILIDAD IMPLEM.]]="B"),50%*10%*22000,20%*10%*22000)))</f>
        <v>2200</v>
      </c>
      <c r="Q159" s="49">
        <f>Tabla5[[#This Row],[IMPACTO AMBIENTAL (Máx. 25%)]]*70%*22000+Tabla5[[#This Row],[IMPACTO ECONÓMICO (Máx. 25%)]]*70%*22000+Tabla5[[#This Row],[IMPACTO SST (Máx. 20%)]]*70%*22000+Tabla5[[#This Row],[IMPACTO PRODUCTIVIDAD (Máx. 25%)]]*70%*22000+Tabla5[[#This Row],[IMPACTO ORDEN Y ASEO (Máx. 5%)]]*70%*22000</f>
        <v>1231.9999999999998</v>
      </c>
      <c r="R159" s="49">
        <f>IFERROR(Tabla5[[#This Row],[PUNTOS VALOR INVERSIÓN]]+Tabla5[[#This Row],[PUNTOS ROI ]]+Tabla5[[#This Row],[PUNTOS FACILIDAD IMPLEM. ]]+Tabla5[[#This Row],[PUNTOS IMPACTO ]],"")</f>
        <v>5632</v>
      </c>
      <c r="S159" s="54"/>
      <c r="T159" s="91" t="s">
        <v>65</v>
      </c>
      <c r="U159" s="91" t="s">
        <v>66</v>
      </c>
      <c r="V159" s="54" t="s">
        <v>376</v>
      </c>
      <c r="W159" s="54" t="s">
        <v>377</v>
      </c>
      <c r="X159" s="91" t="s">
        <v>69</v>
      </c>
      <c r="Y159" s="49" t="s">
        <v>55</v>
      </c>
    </row>
    <row r="160" spans="1:25" ht="27.6" hidden="1" x14ac:dyDescent="0.25">
      <c r="A160" s="47">
        <v>1033486519</v>
      </c>
      <c r="B160" s="53" t="s">
        <v>378</v>
      </c>
      <c r="C160" s="49">
        <v>8964</v>
      </c>
      <c r="D160" s="49" t="s">
        <v>54</v>
      </c>
      <c r="E160" s="49" t="s">
        <v>55</v>
      </c>
      <c r="F160" s="92"/>
      <c r="G160" s="49"/>
      <c r="H160" s="49"/>
      <c r="I160" s="50"/>
      <c r="J160" s="50"/>
      <c r="K160" s="50"/>
      <c r="L160" s="50"/>
      <c r="M160" s="50"/>
      <c r="N160" s="49" t="str">
        <f>IF(Tabla5[[#This Row],[VALOR INVERSIÓN]]="","",IF(Tabla5[[#This Row],[VALOR INVERSIÓN]]&lt;=10000000,100%*10%*22000,IF(AND(Tabla5[[#This Row],[VALOR INVERSIÓN]]&gt;10000000,Tabla5[[#This Row],[VALOR INVERSIÓN]]&lt;=20000000),60%*10%*22000,20%*10%*22000)))</f>
        <v/>
      </c>
      <c r="O160" s="49" t="str">
        <f>IF(Tabla5[[#This Row],[ROI (MESES)]]="","",IF(Tabla5[[#This Row],[ROI (MESES)]]="N/A","0",IF(Tabla5[[#This Row],[ROI (MESES)]]="&lt;=3",100%*10%*22000,IF(Tabla5[[#This Row],[ROI (MESES)]]="&gt;3&lt;=6",75%*10%*22000,25%*10%*22000))))</f>
        <v/>
      </c>
      <c r="P160" s="49" t="str">
        <f>IF(Tabla5[[#This Row],[FACILIDAD IMPLEM.]]="","",IF(Tabla5[[#This Row],[FACILIDAD IMPLEM.]]="A",100%*10%*22000,IF(AND(Tabla5[[#This Row],[FACILIDAD IMPLEM.]]="B"),50%*10%*22000,20%*10%*22000)))</f>
        <v/>
      </c>
      <c r="Q160" s="49">
        <f>Tabla5[[#This Row],[IMPACTO AMBIENTAL (Máx. 25%)]]*70%*22000+Tabla5[[#This Row],[IMPACTO ECONÓMICO (Máx. 25%)]]*70%*22000+Tabla5[[#This Row],[IMPACTO SST (Máx. 20%)]]*70%*22000+Tabla5[[#This Row],[IMPACTO PRODUCTIVIDAD (Máx. 25%)]]*70%*22000+Tabla5[[#This Row],[IMPACTO ORDEN Y ASEO (Máx. 5%)]]*70%*22000</f>
        <v>0</v>
      </c>
      <c r="R160" s="49" t="str">
        <f>IFERROR(Tabla5[[#This Row],[PUNTOS VALOR INVERSIÓN]]+Tabla5[[#This Row],[PUNTOS ROI ]]+Tabla5[[#This Row],[PUNTOS FACILIDAD IMPLEM. ]]+Tabla5[[#This Row],[PUNTOS IMPACTO ]],"")</f>
        <v/>
      </c>
      <c r="S160" s="85" t="s">
        <v>379</v>
      </c>
      <c r="T160" s="94"/>
      <c r="U160" s="94"/>
      <c r="V160" s="85"/>
      <c r="W160" s="85"/>
      <c r="X160" s="49"/>
      <c r="Y160" s="49"/>
    </row>
    <row r="161" spans="1:25" hidden="1" x14ac:dyDescent="0.25">
      <c r="A161" s="47">
        <v>1033486519</v>
      </c>
      <c r="B161" s="53" t="s">
        <v>378</v>
      </c>
      <c r="C161" s="49">
        <v>8965</v>
      </c>
      <c r="D161" s="49" t="s">
        <v>54</v>
      </c>
      <c r="E161" s="49" t="s">
        <v>55</v>
      </c>
      <c r="F161" s="92"/>
      <c r="G161" s="49"/>
      <c r="H161" s="49"/>
      <c r="I161" s="50"/>
      <c r="J161" s="50"/>
      <c r="K161" s="50"/>
      <c r="L161" s="50"/>
      <c r="M161" s="50"/>
      <c r="N161" s="49" t="str">
        <f>IF(Tabla5[[#This Row],[VALOR INVERSIÓN]]="","",IF(Tabla5[[#This Row],[VALOR INVERSIÓN]]&lt;=10000000,100%*10%*22000,IF(AND(Tabla5[[#This Row],[VALOR INVERSIÓN]]&gt;10000000,Tabla5[[#This Row],[VALOR INVERSIÓN]]&lt;=20000000),60%*10%*22000,20%*10%*22000)))</f>
        <v/>
      </c>
      <c r="O161" s="49" t="str">
        <f>IF(Tabla5[[#This Row],[ROI (MESES)]]="","",IF(Tabla5[[#This Row],[ROI (MESES)]]="N/A","0",IF(Tabla5[[#This Row],[ROI (MESES)]]="&lt;=3",100%*10%*22000,IF(Tabla5[[#This Row],[ROI (MESES)]]="&gt;3&lt;=6",75%*10%*22000,25%*10%*22000))))</f>
        <v/>
      </c>
      <c r="P161" s="49" t="str">
        <f>IF(Tabla5[[#This Row],[FACILIDAD IMPLEM.]]="","",IF(Tabla5[[#This Row],[FACILIDAD IMPLEM.]]="A",100%*10%*22000,IF(AND(Tabla5[[#This Row],[FACILIDAD IMPLEM.]]="B"),50%*10%*22000,20%*10%*22000)))</f>
        <v/>
      </c>
      <c r="Q161" s="49">
        <f>Tabla5[[#This Row],[IMPACTO AMBIENTAL (Máx. 25%)]]*70%*22000+Tabla5[[#This Row],[IMPACTO ECONÓMICO (Máx. 25%)]]*70%*22000+Tabla5[[#This Row],[IMPACTO SST (Máx. 20%)]]*70%*22000+Tabla5[[#This Row],[IMPACTO PRODUCTIVIDAD (Máx. 25%)]]*70%*22000+Tabla5[[#This Row],[IMPACTO ORDEN Y ASEO (Máx. 5%)]]*70%*22000</f>
        <v>0</v>
      </c>
      <c r="R161" s="49" t="str">
        <f>IFERROR(Tabla5[[#This Row],[PUNTOS VALOR INVERSIÓN]]+Tabla5[[#This Row],[PUNTOS ROI ]]+Tabla5[[#This Row],[PUNTOS FACILIDAD IMPLEM. ]]+Tabla5[[#This Row],[PUNTOS IMPACTO ]],"")</f>
        <v/>
      </c>
      <c r="S161" s="54" t="s">
        <v>380</v>
      </c>
      <c r="T161" s="91"/>
      <c r="U161" s="91"/>
      <c r="V161" s="54"/>
      <c r="W161" s="54"/>
      <c r="X161" s="49"/>
      <c r="Y161" s="49"/>
    </row>
    <row r="162" spans="1:25" ht="27.6" x14ac:dyDescent="0.25">
      <c r="A162" s="47">
        <v>1033486519</v>
      </c>
      <c r="B162" s="53" t="s">
        <v>378</v>
      </c>
      <c r="C162" s="49">
        <v>8966</v>
      </c>
      <c r="D162" s="49" t="s">
        <v>54</v>
      </c>
      <c r="E162" s="49" t="s">
        <v>62</v>
      </c>
      <c r="F162" s="107">
        <v>320000</v>
      </c>
      <c r="G162" s="49" t="s">
        <v>63</v>
      </c>
      <c r="H162" s="49" t="s">
        <v>73</v>
      </c>
      <c r="I162" s="50">
        <v>0.05</v>
      </c>
      <c r="J162" s="50">
        <v>0.05</v>
      </c>
      <c r="K162" s="50">
        <v>0</v>
      </c>
      <c r="L162" s="50">
        <v>0</v>
      </c>
      <c r="M162" s="50">
        <v>0</v>
      </c>
      <c r="N162" s="49">
        <f>IF(Tabla5[[#This Row],[VALOR INVERSIÓN]]="","",IF(Tabla5[[#This Row],[VALOR INVERSIÓN]]&lt;=10000000,100%*10%*22000,IF(AND(Tabla5[[#This Row],[VALOR INVERSIÓN]]&gt;10000000,Tabla5[[#This Row],[VALOR INVERSIÓN]]&lt;=20000000),60%*10%*22000,20%*10%*22000)))</f>
        <v>2200</v>
      </c>
      <c r="O162" s="49" t="str">
        <f>IF(Tabla5[[#This Row],[ROI (MESES)]]="","",IF(Tabla5[[#This Row],[ROI (MESES)]]="N/A","0",IF(Tabla5[[#This Row],[ROI (MESES)]]="&lt;=3",100%*10%*22000,IF(Tabla5[[#This Row],[ROI (MESES)]]="&gt;3&lt;=6",75%*10%*22000,25%*10%*22000))))</f>
        <v>0</v>
      </c>
      <c r="P162" s="49">
        <f>IF(Tabla5[[#This Row],[FACILIDAD IMPLEM.]]="","",IF(Tabla5[[#This Row],[FACILIDAD IMPLEM.]]="A",100%*10%*22000,IF(AND(Tabla5[[#This Row],[FACILIDAD IMPLEM.]]="B"),50%*10%*22000,20%*10%*22000)))</f>
        <v>2200</v>
      </c>
      <c r="Q162" s="49">
        <f>Tabla5[[#This Row],[IMPACTO AMBIENTAL (Máx. 25%)]]*70%*22000+Tabla5[[#This Row],[IMPACTO ECONÓMICO (Máx. 25%)]]*70%*22000+Tabla5[[#This Row],[IMPACTO SST (Máx. 20%)]]*70%*22000+Tabla5[[#This Row],[IMPACTO PRODUCTIVIDAD (Máx. 25%)]]*70%*22000+Tabla5[[#This Row],[IMPACTO ORDEN Y ASEO (Máx. 5%)]]*70%*22000</f>
        <v>1539.9999999999998</v>
      </c>
      <c r="R162" s="49">
        <f>IFERROR(Tabla5[[#This Row],[PUNTOS VALOR INVERSIÓN]]+Tabla5[[#This Row],[PUNTOS ROI ]]+Tabla5[[#This Row],[PUNTOS FACILIDAD IMPLEM. ]]+Tabla5[[#This Row],[PUNTOS IMPACTO ]],"")</f>
        <v>5940</v>
      </c>
      <c r="S162" s="54"/>
      <c r="T162" s="91" t="s">
        <v>79</v>
      </c>
      <c r="U162" s="91" t="s">
        <v>110</v>
      </c>
      <c r="V162" s="54" t="s">
        <v>381</v>
      </c>
      <c r="W162" s="54" t="s">
        <v>382</v>
      </c>
      <c r="X162" s="91" t="s">
        <v>55</v>
      </c>
      <c r="Y162" s="49" t="s">
        <v>55</v>
      </c>
    </row>
    <row r="163" spans="1:25" ht="27.6" hidden="1" x14ac:dyDescent="0.25">
      <c r="A163" s="47">
        <v>1033486519</v>
      </c>
      <c r="B163" s="53" t="s">
        <v>378</v>
      </c>
      <c r="C163" s="49">
        <v>8967</v>
      </c>
      <c r="D163" s="49" t="s">
        <v>54</v>
      </c>
      <c r="E163" s="49" t="s">
        <v>55</v>
      </c>
      <c r="F163" s="92"/>
      <c r="G163" s="49"/>
      <c r="H163" s="49"/>
      <c r="I163" s="50"/>
      <c r="J163" s="50"/>
      <c r="K163" s="50"/>
      <c r="L163" s="50"/>
      <c r="M163" s="50"/>
      <c r="N163" s="49" t="str">
        <f>IF(Tabla5[[#This Row],[VALOR INVERSIÓN]]="","",IF(Tabla5[[#This Row],[VALOR INVERSIÓN]]&lt;=10000000,100%*10%*22000,IF(AND(Tabla5[[#This Row],[VALOR INVERSIÓN]]&gt;10000000,Tabla5[[#This Row],[VALOR INVERSIÓN]]&lt;=20000000),60%*10%*22000,20%*10%*22000)))</f>
        <v/>
      </c>
      <c r="O163" s="49" t="str">
        <f>IF(Tabla5[[#This Row],[ROI (MESES)]]="","",IF(Tabla5[[#This Row],[ROI (MESES)]]="N/A","0",IF(Tabla5[[#This Row],[ROI (MESES)]]="&lt;=3",100%*10%*22000,IF(Tabla5[[#This Row],[ROI (MESES)]]="&gt;3&lt;=6",75%*10%*22000,25%*10%*22000))))</f>
        <v/>
      </c>
      <c r="P163" s="49" t="str">
        <f>IF(Tabla5[[#This Row],[FACILIDAD IMPLEM.]]="","",IF(Tabla5[[#This Row],[FACILIDAD IMPLEM.]]="A",100%*10%*22000,IF(AND(Tabla5[[#This Row],[FACILIDAD IMPLEM.]]="B"),50%*10%*22000,20%*10%*22000)))</f>
        <v/>
      </c>
      <c r="Q163" s="49">
        <f>Tabla5[[#This Row],[IMPACTO AMBIENTAL (Máx. 25%)]]*70%*22000+Tabla5[[#This Row],[IMPACTO ECONÓMICO (Máx. 25%)]]*70%*22000+Tabla5[[#This Row],[IMPACTO SST (Máx. 20%)]]*70%*22000+Tabla5[[#This Row],[IMPACTO PRODUCTIVIDAD (Máx. 25%)]]*70%*22000+Tabla5[[#This Row],[IMPACTO ORDEN Y ASEO (Máx. 5%)]]*70%*22000</f>
        <v>0</v>
      </c>
      <c r="R163" s="49" t="str">
        <f>IFERROR(Tabla5[[#This Row],[PUNTOS VALOR INVERSIÓN]]+Tabla5[[#This Row],[PUNTOS ROI ]]+Tabla5[[#This Row],[PUNTOS FACILIDAD IMPLEM. ]]+Tabla5[[#This Row],[PUNTOS IMPACTO ]],"")</f>
        <v/>
      </c>
      <c r="S163" s="54" t="s">
        <v>383</v>
      </c>
      <c r="T163" s="91"/>
      <c r="U163" s="91"/>
      <c r="V163" s="54"/>
      <c r="W163" s="54"/>
      <c r="X163" s="49"/>
      <c r="Y163" s="49"/>
    </row>
    <row r="164" spans="1:25" ht="27.6" hidden="1" x14ac:dyDescent="0.25">
      <c r="A164" s="47">
        <v>1033486519</v>
      </c>
      <c r="B164" s="53" t="s">
        <v>378</v>
      </c>
      <c r="C164" s="49">
        <v>8969</v>
      </c>
      <c r="D164" s="49" t="s">
        <v>54</v>
      </c>
      <c r="E164" s="49" t="s">
        <v>55</v>
      </c>
      <c r="F164" s="92"/>
      <c r="G164" s="49"/>
      <c r="H164" s="49"/>
      <c r="I164" s="50"/>
      <c r="J164" s="50"/>
      <c r="K164" s="50"/>
      <c r="L164" s="50"/>
      <c r="M164" s="50"/>
      <c r="N164" s="49" t="str">
        <f>IF(Tabla5[[#This Row],[VALOR INVERSIÓN]]="","",IF(Tabla5[[#This Row],[VALOR INVERSIÓN]]&lt;=10000000,100%*10%*22000,IF(AND(Tabla5[[#This Row],[VALOR INVERSIÓN]]&gt;10000000,Tabla5[[#This Row],[VALOR INVERSIÓN]]&lt;=20000000),60%*10%*22000,20%*10%*22000)))</f>
        <v/>
      </c>
      <c r="O164" s="49" t="str">
        <f>IF(Tabla5[[#This Row],[ROI (MESES)]]="","",IF(Tabla5[[#This Row],[ROI (MESES)]]="N/A","0",IF(Tabla5[[#This Row],[ROI (MESES)]]="&lt;=3",100%*10%*22000,IF(Tabla5[[#This Row],[ROI (MESES)]]="&gt;3&lt;=6",75%*10%*22000,25%*10%*22000))))</f>
        <v/>
      </c>
      <c r="P164" s="49" t="str">
        <f>IF(Tabla5[[#This Row],[FACILIDAD IMPLEM.]]="","",IF(Tabla5[[#This Row],[FACILIDAD IMPLEM.]]="A",100%*10%*22000,IF(AND(Tabla5[[#This Row],[FACILIDAD IMPLEM.]]="B"),50%*10%*22000,20%*10%*22000)))</f>
        <v/>
      </c>
      <c r="Q164" s="49">
        <f>Tabla5[[#This Row],[IMPACTO AMBIENTAL (Máx. 25%)]]*70%*22000+Tabla5[[#This Row],[IMPACTO ECONÓMICO (Máx. 25%)]]*70%*22000+Tabla5[[#This Row],[IMPACTO SST (Máx. 20%)]]*70%*22000+Tabla5[[#This Row],[IMPACTO PRODUCTIVIDAD (Máx. 25%)]]*70%*22000+Tabla5[[#This Row],[IMPACTO ORDEN Y ASEO (Máx. 5%)]]*70%*22000</f>
        <v>0</v>
      </c>
      <c r="R164" s="49" t="str">
        <f>IFERROR(Tabla5[[#This Row],[PUNTOS VALOR INVERSIÓN]]+Tabla5[[#This Row],[PUNTOS ROI ]]+Tabla5[[#This Row],[PUNTOS FACILIDAD IMPLEM. ]]+Tabla5[[#This Row],[PUNTOS IMPACTO ]],"")</f>
        <v/>
      </c>
      <c r="S164" s="54" t="s">
        <v>384</v>
      </c>
      <c r="T164" s="91"/>
      <c r="U164" s="91"/>
      <c r="V164" s="54"/>
      <c r="W164" s="54"/>
      <c r="X164" s="49"/>
      <c r="Y164" s="49"/>
    </row>
    <row r="165" spans="1:25" ht="27.6" x14ac:dyDescent="0.25">
      <c r="A165" s="47">
        <v>1037572152</v>
      </c>
      <c r="B165" s="53" t="s">
        <v>58</v>
      </c>
      <c r="C165" s="49">
        <v>8970</v>
      </c>
      <c r="D165" s="49" t="s">
        <v>54</v>
      </c>
      <c r="E165" s="49" t="s">
        <v>62</v>
      </c>
      <c r="F165" s="107">
        <v>10000000</v>
      </c>
      <c r="G165" s="49" t="s">
        <v>63</v>
      </c>
      <c r="H165" s="49" t="s">
        <v>78</v>
      </c>
      <c r="I165" s="50">
        <v>0</v>
      </c>
      <c r="J165" s="50">
        <v>0.03</v>
      </c>
      <c r="K165" s="50">
        <v>0</v>
      </c>
      <c r="L165" s="50">
        <v>0.04</v>
      </c>
      <c r="M165" s="50">
        <v>0</v>
      </c>
      <c r="N165" s="49">
        <f>IF(Tabla5[[#This Row],[VALOR INVERSIÓN]]="","",IF(Tabla5[[#This Row],[VALOR INVERSIÓN]]&lt;=10000000,100%*10%*22000,IF(AND(Tabla5[[#This Row],[VALOR INVERSIÓN]]&gt;10000000,Tabla5[[#This Row],[VALOR INVERSIÓN]]&lt;=20000000),60%*10%*22000,20%*10%*22000)))</f>
        <v>2200</v>
      </c>
      <c r="O165" s="49" t="str">
        <f>IF(Tabla5[[#This Row],[ROI (MESES)]]="","",IF(Tabla5[[#This Row],[ROI (MESES)]]="N/A","0",IF(Tabla5[[#This Row],[ROI (MESES)]]="&lt;=3",100%*10%*22000,IF(Tabla5[[#This Row],[ROI (MESES)]]="&gt;3&lt;=6",75%*10%*22000,25%*10%*22000))))</f>
        <v>0</v>
      </c>
      <c r="P165" s="49">
        <f>IF(Tabla5[[#This Row],[FACILIDAD IMPLEM.]]="","",IF(Tabla5[[#This Row],[FACILIDAD IMPLEM.]]="A",100%*10%*22000,IF(AND(Tabla5[[#This Row],[FACILIDAD IMPLEM.]]="B"),50%*10%*22000,20%*10%*22000)))</f>
        <v>1100</v>
      </c>
      <c r="Q165" s="49">
        <f>Tabla5[[#This Row],[IMPACTO AMBIENTAL (Máx. 25%)]]*70%*22000+Tabla5[[#This Row],[IMPACTO ECONÓMICO (Máx. 25%)]]*70%*22000+Tabla5[[#This Row],[IMPACTO SST (Máx. 20%)]]*70%*22000+Tabla5[[#This Row],[IMPACTO PRODUCTIVIDAD (Máx. 25%)]]*70%*22000+Tabla5[[#This Row],[IMPACTO ORDEN Y ASEO (Máx. 5%)]]*70%*22000</f>
        <v>1077.9999999999998</v>
      </c>
      <c r="R165" s="49">
        <f>IFERROR(Tabla5[[#This Row],[PUNTOS VALOR INVERSIÓN]]+Tabla5[[#This Row],[PUNTOS ROI ]]+Tabla5[[#This Row],[PUNTOS FACILIDAD IMPLEM. ]]+Tabla5[[#This Row],[PUNTOS IMPACTO ]],"")</f>
        <v>4378</v>
      </c>
      <c r="S165" s="54"/>
      <c r="T165" s="91" t="s">
        <v>65</v>
      </c>
      <c r="U165" s="91" t="s">
        <v>110</v>
      </c>
      <c r="V165" s="54" t="s">
        <v>385</v>
      </c>
      <c r="W165" s="54" t="s">
        <v>386</v>
      </c>
      <c r="X165" s="91" t="s">
        <v>76</v>
      </c>
      <c r="Y165" s="49" t="s">
        <v>77</v>
      </c>
    </row>
    <row r="166" spans="1:25" hidden="1" x14ac:dyDescent="0.25">
      <c r="A166" s="47">
        <v>1037572152</v>
      </c>
      <c r="B166" s="53" t="s">
        <v>58</v>
      </c>
      <c r="C166" s="49">
        <v>8971</v>
      </c>
      <c r="D166" s="49" t="s">
        <v>54</v>
      </c>
      <c r="E166" s="49" t="s">
        <v>55</v>
      </c>
      <c r="F166" s="92"/>
      <c r="G166" s="49"/>
      <c r="H166" s="49"/>
      <c r="I166" s="50"/>
      <c r="J166" s="50"/>
      <c r="K166" s="50"/>
      <c r="L166" s="50"/>
      <c r="M166" s="50"/>
      <c r="N166" s="49" t="str">
        <f>IF(Tabla5[[#This Row],[VALOR INVERSIÓN]]="","",IF(Tabla5[[#This Row],[VALOR INVERSIÓN]]&lt;=10000000,100%*10%*22000,IF(AND(Tabla5[[#This Row],[VALOR INVERSIÓN]]&gt;10000000,Tabla5[[#This Row],[VALOR INVERSIÓN]]&lt;=20000000),60%*10%*22000,20%*10%*22000)))</f>
        <v/>
      </c>
      <c r="O166" s="49" t="str">
        <f>IF(Tabla5[[#This Row],[ROI (MESES)]]="","",IF(Tabla5[[#This Row],[ROI (MESES)]]="N/A","0",IF(Tabla5[[#This Row],[ROI (MESES)]]="&lt;=3",100%*10%*22000,IF(Tabla5[[#This Row],[ROI (MESES)]]="&gt;3&lt;=6",75%*10%*22000,25%*10%*22000))))</f>
        <v/>
      </c>
      <c r="P166" s="49" t="str">
        <f>IF(Tabla5[[#This Row],[FACILIDAD IMPLEM.]]="","",IF(Tabla5[[#This Row],[FACILIDAD IMPLEM.]]="A",100%*10%*22000,IF(AND(Tabla5[[#This Row],[FACILIDAD IMPLEM.]]="B"),50%*10%*22000,20%*10%*22000)))</f>
        <v/>
      </c>
      <c r="Q166" s="49">
        <f>Tabla5[[#This Row],[IMPACTO AMBIENTAL (Máx. 25%)]]*70%*22000+Tabla5[[#This Row],[IMPACTO ECONÓMICO (Máx. 25%)]]*70%*22000+Tabla5[[#This Row],[IMPACTO SST (Máx. 20%)]]*70%*22000+Tabla5[[#This Row],[IMPACTO PRODUCTIVIDAD (Máx. 25%)]]*70%*22000+Tabla5[[#This Row],[IMPACTO ORDEN Y ASEO (Máx. 5%)]]*70%*22000</f>
        <v>0</v>
      </c>
      <c r="R166" s="49" t="str">
        <f>IFERROR(Tabla5[[#This Row],[PUNTOS VALOR INVERSIÓN]]+Tabla5[[#This Row],[PUNTOS ROI ]]+Tabla5[[#This Row],[PUNTOS FACILIDAD IMPLEM. ]]+Tabla5[[#This Row],[PUNTOS IMPACTO ]],"")</f>
        <v/>
      </c>
      <c r="S166" s="85" t="s">
        <v>387</v>
      </c>
      <c r="T166" s="94"/>
      <c r="U166" s="94"/>
      <c r="V166" s="85"/>
      <c r="W166" s="85"/>
      <c r="X166" s="49"/>
      <c r="Y166" s="49"/>
    </row>
    <row r="167" spans="1:25" ht="27.6" x14ac:dyDescent="0.25">
      <c r="A167" s="47">
        <v>71748038</v>
      </c>
      <c r="B167" s="53" t="s">
        <v>295</v>
      </c>
      <c r="C167" s="49">
        <v>7653</v>
      </c>
      <c r="D167" s="49" t="s">
        <v>54</v>
      </c>
      <c r="E167" s="49" t="s">
        <v>62</v>
      </c>
      <c r="F167" s="107">
        <v>10000000</v>
      </c>
      <c r="G167" s="49" t="s">
        <v>63</v>
      </c>
      <c r="H167" s="49" t="s">
        <v>78</v>
      </c>
      <c r="I167" s="50">
        <v>0</v>
      </c>
      <c r="J167" s="50">
        <v>0</v>
      </c>
      <c r="K167" s="50">
        <v>0.1</v>
      </c>
      <c r="L167" s="50">
        <v>0</v>
      </c>
      <c r="M167" s="50">
        <v>0</v>
      </c>
      <c r="N167" s="49">
        <f>IF(Tabla5[[#This Row],[VALOR INVERSIÓN]]="","",IF(Tabla5[[#This Row],[VALOR INVERSIÓN]]&lt;=10000000,100%*10%*22000,IF(AND(Tabla5[[#This Row],[VALOR INVERSIÓN]]&gt;10000000,Tabla5[[#This Row],[VALOR INVERSIÓN]]&lt;=20000000),60%*10%*22000,20%*10%*22000)))</f>
        <v>2200</v>
      </c>
      <c r="O167" s="49" t="str">
        <f>IF(Tabla5[[#This Row],[ROI (MESES)]]="","",IF(Tabla5[[#This Row],[ROI (MESES)]]="N/A","0",IF(Tabla5[[#This Row],[ROI (MESES)]]="&lt;=3",100%*10%*22000,IF(Tabla5[[#This Row],[ROI (MESES)]]="&gt;3&lt;=6",75%*10%*22000,25%*10%*22000))))</f>
        <v>0</v>
      </c>
      <c r="P167" s="49">
        <f>IF(Tabla5[[#This Row],[FACILIDAD IMPLEM.]]="","",IF(Tabla5[[#This Row],[FACILIDAD IMPLEM.]]="A",100%*10%*22000,IF(AND(Tabla5[[#This Row],[FACILIDAD IMPLEM.]]="B"),50%*10%*22000,20%*10%*22000)))</f>
        <v>1100</v>
      </c>
      <c r="Q167" s="49">
        <f>Tabla5[[#This Row],[IMPACTO AMBIENTAL (Máx. 25%)]]*70%*22000+Tabla5[[#This Row],[IMPACTO ECONÓMICO (Máx. 25%)]]*70%*22000+Tabla5[[#This Row],[IMPACTO SST (Máx. 20%)]]*70%*22000+Tabla5[[#This Row],[IMPACTO PRODUCTIVIDAD (Máx. 25%)]]*70%*22000+Tabla5[[#This Row],[IMPACTO ORDEN Y ASEO (Máx. 5%)]]*70%*22000</f>
        <v>1539.9999999999998</v>
      </c>
      <c r="R167" s="49">
        <f>IFERROR(Tabla5[[#This Row],[PUNTOS VALOR INVERSIÓN]]+Tabla5[[#This Row],[PUNTOS ROI ]]+Tabla5[[#This Row],[PUNTOS FACILIDAD IMPLEM. ]]+Tabla5[[#This Row],[PUNTOS IMPACTO ]],"")</f>
        <v>4840</v>
      </c>
      <c r="S167" s="54"/>
      <c r="T167" s="91" t="s">
        <v>65</v>
      </c>
      <c r="U167" s="91" t="s">
        <v>89</v>
      </c>
      <c r="V167" s="54" t="s">
        <v>388</v>
      </c>
      <c r="W167" s="54" t="s">
        <v>389</v>
      </c>
      <c r="X167" s="91" t="s">
        <v>180</v>
      </c>
      <c r="Y167" s="49" t="s">
        <v>77</v>
      </c>
    </row>
    <row r="168" spans="1:25" hidden="1" x14ac:dyDescent="0.25">
      <c r="A168" s="47">
        <v>1037572152</v>
      </c>
      <c r="B168" s="53" t="s">
        <v>58</v>
      </c>
      <c r="C168" s="49">
        <v>8973</v>
      </c>
      <c r="D168" s="49" t="s">
        <v>54</v>
      </c>
      <c r="E168" s="49" t="s">
        <v>55</v>
      </c>
      <c r="F168" s="92"/>
      <c r="G168" s="49"/>
      <c r="H168" s="49"/>
      <c r="I168" s="50"/>
      <c r="J168" s="50"/>
      <c r="K168" s="50"/>
      <c r="L168" s="50"/>
      <c r="M168" s="50"/>
      <c r="N168" s="49" t="str">
        <f>IF(Tabla5[[#This Row],[VALOR INVERSIÓN]]="","",IF(Tabla5[[#This Row],[VALOR INVERSIÓN]]&lt;=10000000,100%*10%*22000,IF(AND(Tabla5[[#This Row],[VALOR INVERSIÓN]]&gt;10000000,Tabla5[[#This Row],[VALOR INVERSIÓN]]&lt;=20000000),60%*10%*22000,20%*10%*22000)))</f>
        <v/>
      </c>
      <c r="O168" s="49" t="str">
        <f>IF(Tabla5[[#This Row],[ROI (MESES)]]="","",IF(Tabla5[[#This Row],[ROI (MESES)]]="N/A","0",IF(Tabla5[[#This Row],[ROI (MESES)]]="&lt;=3",100%*10%*22000,IF(Tabla5[[#This Row],[ROI (MESES)]]="&gt;3&lt;=6",75%*10%*22000,25%*10%*22000))))</f>
        <v/>
      </c>
      <c r="P168" s="49" t="str">
        <f>IF(Tabla5[[#This Row],[FACILIDAD IMPLEM.]]="","",IF(Tabla5[[#This Row],[FACILIDAD IMPLEM.]]="A",100%*10%*22000,IF(AND(Tabla5[[#This Row],[FACILIDAD IMPLEM.]]="B"),50%*10%*22000,20%*10%*22000)))</f>
        <v/>
      </c>
      <c r="Q168" s="49">
        <f>Tabla5[[#This Row],[IMPACTO AMBIENTAL (Máx. 25%)]]*70%*22000+Tabla5[[#This Row],[IMPACTO ECONÓMICO (Máx. 25%)]]*70%*22000+Tabla5[[#This Row],[IMPACTO SST (Máx. 20%)]]*70%*22000+Tabla5[[#This Row],[IMPACTO PRODUCTIVIDAD (Máx. 25%)]]*70%*22000+Tabla5[[#This Row],[IMPACTO ORDEN Y ASEO (Máx. 5%)]]*70%*22000</f>
        <v>0</v>
      </c>
      <c r="R168" s="49" t="str">
        <f>IFERROR(Tabla5[[#This Row],[PUNTOS VALOR INVERSIÓN]]+Tabla5[[#This Row],[PUNTOS ROI ]]+Tabla5[[#This Row],[PUNTOS FACILIDAD IMPLEM. ]]+Tabla5[[#This Row],[PUNTOS IMPACTO ]],"")</f>
        <v/>
      </c>
      <c r="S168" s="54"/>
      <c r="T168" s="91"/>
      <c r="U168" s="91"/>
      <c r="V168" s="54"/>
      <c r="W168" s="54"/>
      <c r="X168" s="49"/>
      <c r="Y168" s="49"/>
    </row>
    <row r="169" spans="1:25" ht="41.4" x14ac:dyDescent="0.25">
      <c r="A169" s="47">
        <v>1037572152</v>
      </c>
      <c r="B169" s="53" t="s">
        <v>58</v>
      </c>
      <c r="C169" s="49">
        <v>8974</v>
      </c>
      <c r="D169" s="49" t="s">
        <v>54</v>
      </c>
      <c r="E169" s="49" t="s">
        <v>62</v>
      </c>
      <c r="F169" s="107">
        <v>0</v>
      </c>
      <c r="G169" s="49" t="s">
        <v>100</v>
      </c>
      <c r="H169" s="49" t="s">
        <v>64</v>
      </c>
      <c r="I169" s="50">
        <v>0</v>
      </c>
      <c r="J169" s="50">
        <v>0.2</v>
      </c>
      <c r="K169" s="50">
        <v>0</v>
      </c>
      <c r="L169" s="50">
        <v>0</v>
      </c>
      <c r="M169" s="50">
        <v>0</v>
      </c>
      <c r="N169" s="49">
        <f>IF(Tabla5[[#This Row],[VALOR INVERSIÓN]]="","",IF(Tabla5[[#This Row],[VALOR INVERSIÓN]]&lt;=10000000,100%*10%*22000,IF(AND(Tabla5[[#This Row],[VALOR INVERSIÓN]]&gt;10000000,Tabla5[[#This Row],[VALOR INVERSIÓN]]&lt;=20000000),60%*10%*22000,20%*10%*22000)))</f>
        <v>2200</v>
      </c>
      <c r="O169" s="49">
        <f>IF(Tabla5[[#This Row],[ROI (MESES)]]="","",IF(Tabla5[[#This Row],[ROI (MESES)]]="N/A","0",IF(Tabla5[[#This Row],[ROI (MESES)]]="&lt;=3",100%*10%*22000,IF(Tabla5[[#This Row],[ROI (MESES)]]="&gt;3&lt;=6",75%*10%*22000,25%*10%*22000))))</f>
        <v>2200</v>
      </c>
      <c r="P169" s="49">
        <f>IF(Tabla5[[#This Row],[FACILIDAD IMPLEM.]]="","",IF(Tabla5[[#This Row],[FACILIDAD IMPLEM.]]="A",100%*10%*22000,IF(AND(Tabla5[[#This Row],[FACILIDAD IMPLEM.]]="B"),50%*10%*22000,20%*10%*22000)))</f>
        <v>440.00000000000011</v>
      </c>
      <c r="Q169" s="49">
        <f>Tabla5[[#This Row],[IMPACTO AMBIENTAL (Máx. 25%)]]*70%*22000+Tabla5[[#This Row],[IMPACTO ECONÓMICO (Máx. 25%)]]*70%*22000+Tabla5[[#This Row],[IMPACTO SST (Máx. 20%)]]*70%*22000+Tabla5[[#This Row],[IMPACTO PRODUCTIVIDAD (Máx. 25%)]]*70%*22000+Tabla5[[#This Row],[IMPACTO ORDEN Y ASEO (Máx. 5%)]]*70%*22000</f>
        <v>3079.9999999999995</v>
      </c>
      <c r="R169" s="49">
        <f>IFERROR(Tabla5[[#This Row],[PUNTOS VALOR INVERSIÓN]]+Tabla5[[#This Row],[PUNTOS ROI ]]+Tabla5[[#This Row],[PUNTOS FACILIDAD IMPLEM. ]]+Tabla5[[#This Row],[PUNTOS IMPACTO ]],"")</f>
        <v>7920</v>
      </c>
      <c r="S169" s="54"/>
      <c r="T169" s="91" t="s">
        <v>79</v>
      </c>
      <c r="U169" s="91" t="s">
        <v>84</v>
      </c>
      <c r="V169" s="54" t="s">
        <v>390</v>
      </c>
      <c r="W169" s="54" t="s">
        <v>391</v>
      </c>
      <c r="X169" s="91"/>
      <c r="Y169" s="49" t="s">
        <v>55</v>
      </c>
    </row>
    <row r="170" spans="1:25" ht="27.6" x14ac:dyDescent="0.25">
      <c r="A170" s="47">
        <v>1042467027</v>
      </c>
      <c r="B170" s="53" t="s">
        <v>392</v>
      </c>
      <c r="C170" s="49">
        <v>9029</v>
      </c>
      <c r="D170" s="49" t="s">
        <v>54</v>
      </c>
      <c r="E170" s="49" t="s">
        <v>62</v>
      </c>
      <c r="F170" s="107">
        <v>1000000</v>
      </c>
      <c r="G170" s="49" t="s">
        <v>63</v>
      </c>
      <c r="H170" s="49" t="s">
        <v>73</v>
      </c>
      <c r="I170" s="50">
        <v>0</v>
      </c>
      <c r="J170" s="50">
        <v>7.0000000000000007E-2</v>
      </c>
      <c r="K170" s="50">
        <v>0</v>
      </c>
      <c r="L170" s="50">
        <v>0</v>
      </c>
      <c r="M170" s="50">
        <v>0</v>
      </c>
      <c r="N170" s="49">
        <f>IF(Tabla5[[#This Row],[VALOR INVERSIÓN]]="","",IF(Tabla5[[#This Row],[VALOR INVERSIÓN]]&lt;=10000000,100%*10%*22000,IF(AND(Tabla5[[#This Row],[VALOR INVERSIÓN]]&gt;10000000,Tabla5[[#This Row],[VALOR INVERSIÓN]]&lt;=20000000),60%*10%*22000,20%*10%*22000)))</f>
        <v>2200</v>
      </c>
      <c r="O170" s="49" t="str">
        <f>IF(Tabla5[[#This Row],[ROI (MESES)]]="","",IF(Tabla5[[#This Row],[ROI (MESES)]]="N/A","0",IF(Tabla5[[#This Row],[ROI (MESES)]]="&lt;=3",100%*10%*22000,IF(Tabla5[[#This Row],[ROI (MESES)]]="&gt;3&lt;=6",75%*10%*22000,25%*10%*22000))))</f>
        <v>0</v>
      </c>
      <c r="P170" s="49">
        <f>IF(Tabla5[[#This Row],[FACILIDAD IMPLEM.]]="","",IF(Tabla5[[#This Row],[FACILIDAD IMPLEM.]]="A",100%*10%*22000,IF(AND(Tabla5[[#This Row],[FACILIDAD IMPLEM.]]="B"),50%*10%*22000,20%*10%*22000)))</f>
        <v>2200</v>
      </c>
      <c r="Q170" s="49">
        <f>Tabla5[[#This Row],[IMPACTO AMBIENTAL (Máx. 25%)]]*70%*22000+Tabla5[[#This Row],[IMPACTO ECONÓMICO (Máx. 25%)]]*70%*22000+Tabla5[[#This Row],[IMPACTO SST (Máx. 20%)]]*70%*22000+Tabla5[[#This Row],[IMPACTO PRODUCTIVIDAD (Máx. 25%)]]*70%*22000+Tabla5[[#This Row],[IMPACTO ORDEN Y ASEO (Máx. 5%)]]*70%*22000</f>
        <v>1078</v>
      </c>
      <c r="R170" s="49">
        <f>IFERROR(Tabla5[[#This Row],[PUNTOS VALOR INVERSIÓN]]+Tabla5[[#This Row],[PUNTOS ROI ]]+Tabla5[[#This Row],[PUNTOS FACILIDAD IMPLEM. ]]+Tabla5[[#This Row],[PUNTOS IMPACTO ]],"")</f>
        <v>5478</v>
      </c>
      <c r="S170" s="54"/>
      <c r="T170" s="91" t="s">
        <v>65</v>
      </c>
      <c r="U170" s="91" t="s">
        <v>84</v>
      </c>
      <c r="V170" s="54" t="s">
        <v>393</v>
      </c>
      <c r="W170" s="54" t="s">
        <v>394</v>
      </c>
      <c r="X170" s="91"/>
      <c r="Y170" s="49" t="s">
        <v>55</v>
      </c>
    </row>
    <row r="171" spans="1:25" hidden="1" x14ac:dyDescent="0.25">
      <c r="A171" s="47">
        <v>71311035</v>
      </c>
      <c r="B171" s="53" t="s">
        <v>114</v>
      </c>
      <c r="C171" s="49">
        <v>9118</v>
      </c>
      <c r="D171" s="49" t="s">
        <v>54</v>
      </c>
      <c r="E171" s="49" t="s">
        <v>55</v>
      </c>
      <c r="F171" s="92"/>
      <c r="G171" s="49"/>
      <c r="H171" s="49"/>
      <c r="I171" s="50"/>
      <c r="J171" s="50"/>
      <c r="K171" s="50"/>
      <c r="L171" s="50"/>
      <c r="M171" s="50"/>
      <c r="N171" s="49" t="str">
        <f>IF(Tabla5[[#This Row],[VALOR INVERSIÓN]]="","",IF(Tabla5[[#This Row],[VALOR INVERSIÓN]]&lt;=10000000,100%*10%*22000,IF(AND(Tabla5[[#This Row],[VALOR INVERSIÓN]]&gt;10000000,Tabla5[[#This Row],[VALOR INVERSIÓN]]&lt;=20000000),60%*10%*22000,20%*10%*22000)))</f>
        <v/>
      </c>
      <c r="O171" s="49" t="str">
        <f>IF(Tabla5[[#This Row],[ROI (MESES)]]="","",IF(Tabla5[[#This Row],[ROI (MESES)]]="N/A","0",IF(Tabla5[[#This Row],[ROI (MESES)]]="&lt;=3",100%*10%*22000,IF(Tabla5[[#This Row],[ROI (MESES)]]="&gt;3&lt;=6",75%*10%*22000,25%*10%*22000))))</f>
        <v/>
      </c>
      <c r="P171" s="49" t="str">
        <f>IF(Tabla5[[#This Row],[FACILIDAD IMPLEM.]]="","",IF(Tabla5[[#This Row],[FACILIDAD IMPLEM.]]="A",100%*10%*22000,IF(AND(Tabla5[[#This Row],[FACILIDAD IMPLEM.]]="B"),50%*10%*22000,20%*10%*22000)))</f>
        <v/>
      </c>
      <c r="Q171" s="49">
        <f>Tabla5[[#This Row],[IMPACTO AMBIENTAL (Máx. 25%)]]*70%*22000+Tabla5[[#This Row],[IMPACTO ECONÓMICO (Máx. 25%)]]*70%*22000+Tabla5[[#This Row],[IMPACTO SST (Máx. 20%)]]*70%*22000+Tabla5[[#This Row],[IMPACTO PRODUCTIVIDAD (Máx. 25%)]]*70%*22000+Tabla5[[#This Row],[IMPACTO ORDEN Y ASEO (Máx. 5%)]]*70%*22000</f>
        <v>0</v>
      </c>
      <c r="R171" s="49" t="str">
        <f>IFERROR(Tabla5[[#This Row],[PUNTOS VALOR INVERSIÓN]]+Tabla5[[#This Row],[PUNTOS ROI ]]+Tabla5[[#This Row],[PUNTOS FACILIDAD IMPLEM. ]]+Tabla5[[#This Row],[PUNTOS IMPACTO ]],"")</f>
        <v/>
      </c>
      <c r="S171" s="54"/>
      <c r="T171" s="91"/>
      <c r="U171" s="91"/>
      <c r="V171" s="54"/>
      <c r="W171" s="54"/>
      <c r="X171" s="49"/>
      <c r="Y171" s="49"/>
    </row>
    <row r="172" spans="1:25" ht="27.6" x14ac:dyDescent="0.25">
      <c r="A172" s="47">
        <v>1128479264</v>
      </c>
      <c r="B172" s="53" t="s">
        <v>146</v>
      </c>
      <c r="C172" s="49">
        <v>9244</v>
      </c>
      <c r="D172" s="49" t="s">
        <v>119</v>
      </c>
      <c r="E172" s="49" t="s">
        <v>62</v>
      </c>
      <c r="F172" s="107">
        <v>1000000</v>
      </c>
      <c r="G172" s="49" t="s">
        <v>120</v>
      </c>
      <c r="H172" s="49" t="s">
        <v>73</v>
      </c>
      <c r="I172" s="50">
        <v>0</v>
      </c>
      <c r="J172" s="50">
        <v>7.0000000000000007E-2</v>
      </c>
      <c r="K172" s="50">
        <v>0.05</v>
      </c>
      <c r="L172" s="50">
        <v>0</v>
      </c>
      <c r="M172" s="50">
        <v>0</v>
      </c>
      <c r="N172" s="49">
        <f>IF(Tabla5[[#This Row],[VALOR INVERSIÓN]]="","",IF(Tabla5[[#This Row],[VALOR INVERSIÓN]]&lt;=10000000,100%*10%*22000,IF(AND(Tabla5[[#This Row],[VALOR INVERSIÓN]]&gt;10000000,Tabla5[[#This Row],[VALOR INVERSIÓN]]&lt;=20000000),60%*10%*22000,20%*10%*22000)))</f>
        <v>2200</v>
      </c>
      <c r="O172" s="49">
        <f>IF(Tabla5[[#This Row],[ROI (MESES)]]="","",IF(Tabla5[[#This Row],[ROI (MESES)]]="N/A","0",IF(Tabla5[[#This Row],[ROI (MESES)]]="&lt;=3",100%*10%*22000,IF(Tabla5[[#This Row],[ROI (MESES)]]="&gt;3&lt;=6",75%*10%*22000,25%*10%*22000))))</f>
        <v>1650.0000000000002</v>
      </c>
      <c r="P172" s="49">
        <f>IF(Tabla5[[#This Row],[FACILIDAD IMPLEM.]]="","",IF(Tabla5[[#This Row],[FACILIDAD IMPLEM.]]="A",100%*10%*22000,IF(AND(Tabla5[[#This Row],[FACILIDAD IMPLEM.]]="B"),50%*10%*22000,20%*10%*22000)))</f>
        <v>2200</v>
      </c>
      <c r="Q172" s="49">
        <f>Tabla5[[#This Row],[IMPACTO AMBIENTAL (Máx. 25%)]]*70%*22000+Tabla5[[#This Row],[IMPACTO ECONÓMICO (Máx. 25%)]]*70%*22000+Tabla5[[#This Row],[IMPACTO SST (Máx. 20%)]]*70%*22000+Tabla5[[#This Row],[IMPACTO PRODUCTIVIDAD (Máx. 25%)]]*70%*22000+Tabla5[[#This Row],[IMPACTO ORDEN Y ASEO (Máx. 5%)]]*70%*22000</f>
        <v>1848</v>
      </c>
      <c r="R172" s="49">
        <f>IFERROR(Tabla5[[#This Row],[PUNTOS VALOR INVERSIÓN]]+Tabla5[[#This Row],[PUNTOS ROI ]]+Tabla5[[#This Row],[PUNTOS FACILIDAD IMPLEM. ]]+Tabla5[[#This Row],[PUNTOS IMPACTO ]],"")</f>
        <v>7898</v>
      </c>
      <c r="S172" s="54"/>
      <c r="T172" s="91" t="s">
        <v>79</v>
      </c>
      <c r="U172" s="91" t="s">
        <v>84</v>
      </c>
      <c r="V172" s="54" t="s">
        <v>395</v>
      </c>
      <c r="W172" s="54" t="s">
        <v>396</v>
      </c>
      <c r="X172" s="91"/>
      <c r="Y172" s="49" t="s">
        <v>55</v>
      </c>
    </row>
    <row r="173" spans="1:25" ht="55.2" hidden="1" x14ac:dyDescent="0.25">
      <c r="A173" s="47">
        <v>1020456282</v>
      </c>
      <c r="B173" s="53" t="s">
        <v>397</v>
      </c>
      <c r="C173" s="49">
        <v>9367</v>
      </c>
      <c r="D173" s="49" t="s">
        <v>54</v>
      </c>
      <c r="E173" s="49" t="s">
        <v>55</v>
      </c>
      <c r="F173" s="92"/>
      <c r="G173" s="49"/>
      <c r="H173" s="49"/>
      <c r="I173" s="50"/>
      <c r="J173" s="50"/>
      <c r="K173" s="50"/>
      <c r="L173" s="50"/>
      <c r="M173" s="50"/>
      <c r="N173" s="49" t="str">
        <f>IF(Tabla5[[#This Row],[VALOR INVERSIÓN]]="","",IF(Tabla5[[#This Row],[VALOR INVERSIÓN]]&lt;=10000000,100%*10%*22000,IF(AND(Tabla5[[#This Row],[VALOR INVERSIÓN]]&gt;10000000,Tabla5[[#This Row],[VALOR INVERSIÓN]]&lt;=20000000),60%*10%*22000,20%*10%*22000)))</f>
        <v/>
      </c>
      <c r="O173" s="49" t="str">
        <f>IF(Tabla5[[#This Row],[ROI (MESES)]]="","",IF(Tabla5[[#This Row],[ROI (MESES)]]="N/A","0",IF(Tabla5[[#This Row],[ROI (MESES)]]="&lt;=3",100%*10%*22000,IF(Tabla5[[#This Row],[ROI (MESES)]]="&gt;3&lt;=6",75%*10%*22000,25%*10%*22000))))</f>
        <v/>
      </c>
      <c r="P173" s="49" t="str">
        <f>IF(Tabla5[[#This Row],[FACILIDAD IMPLEM.]]="","",IF(Tabla5[[#This Row],[FACILIDAD IMPLEM.]]="A",100%*10%*22000,IF(AND(Tabla5[[#This Row],[FACILIDAD IMPLEM.]]="B"),50%*10%*22000,20%*10%*22000)))</f>
        <v/>
      </c>
      <c r="Q173" s="49">
        <f>Tabla5[[#This Row],[IMPACTO AMBIENTAL (Máx. 25%)]]*70%*22000+Tabla5[[#This Row],[IMPACTO ECONÓMICO (Máx. 25%)]]*70%*22000+Tabla5[[#This Row],[IMPACTO SST (Máx. 20%)]]*70%*22000+Tabla5[[#This Row],[IMPACTO PRODUCTIVIDAD (Máx. 25%)]]*70%*22000+Tabla5[[#This Row],[IMPACTO ORDEN Y ASEO (Máx. 5%)]]*70%*22000</f>
        <v>0</v>
      </c>
      <c r="R173" s="49" t="str">
        <f>IFERROR(Tabla5[[#This Row],[PUNTOS VALOR INVERSIÓN]]+Tabla5[[#This Row],[PUNTOS ROI ]]+Tabla5[[#This Row],[PUNTOS FACILIDAD IMPLEM. ]]+Tabla5[[#This Row],[PUNTOS IMPACTO ]],"")</f>
        <v/>
      </c>
      <c r="S173" s="54" t="s">
        <v>398</v>
      </c>
      <c r="T173" s="91"/>
      <c r="U173" s="91"/>
      <c r="V173" s="54"/>
      <c r="W173" s="54"/>
      <c r="X173" s="49"/>
      <c r="Y173" s="49"/>
    </row>
    <row r="174" spans="1:25" hidden="1" x14ac:dyDescent="0.25">
      <c r="A174" s="47">
        <v>1214747832</v>
      </c>
      <c r="B174" s="53" t="s">
        <v>243</v>
      </c>
      <c r="C174" s="49">
        <v>9478</v>
      </c>
      <c r="D174" s="49" t="s">
        <v>218</v>
      </c>
      <c r="E174" s="49" t="s">
        <v>55</v>
      </c>
      <c r="F174" s="92"/>
      <c r="G174" s="49"/>
      <c r="H174" s="49"/>
      <c r="I174" s="50"/>
      <c r="J174" s="50"/>
      <c r="K174" s="50"/>
      <c r="L174" s="50"/>
      <c r="M174" s="50"/>
      <c r="N174" s="49" t="str">
        <f>IF(Tabla5[[#This Row],[VALOR INVERSIÓN]]="","",IF(Tabla5[[#This Row],[VALOR INVERSIÓN]]&lt;=10000000,100%*10%*22000,IF(AND(Tabla5[[#This Row],[VALOR INVERSIÓN]]&gt;10000000,Tabla5[[#This Row],[VALOR INVERSIÓN]]&lt;=20000000),60%*10%*22000,20%*10%*22000)))</f>
        <v/>
      </c>
      <c r="O174" s="49" t="str">
        <f>IF(Tabla5[[#This Row],[ROI (MESES)]]="","",IF(Tabla5[[#This Row],[ROI (MESES)]]="N/A","0",IF(Tabla5[[#This Row],[ROI (MESES)]]="&lt;=3",100%*10%*22000,IF(Tabla5[[#This Row],[ROI (MESES)]]="&gt;3&lt;=6",75%*10%*22000,25%*10%*22000))))</f>
        <v/>
      </c>
      <c r="P174" s="49" t="str">
        <f>IF(Tabla5[[#This Row],[FACILIDAD IMPLEM.]]="","",IF(Tabla5[[#This Row],[FACILIDAD IMPLEM.]]="A",100%*10%*22000,IF(AND(Tabla5[[#This Row],[FACILIDAD IMPLEM.]]="B"),50%*10%*22000,20%*10%*22000)))</f>
        <v/>
      </c>
      <c r="Q174" s="49">
        <f>Tabla5[[#This Row],[IMPACTO AMBIENTAL (Máx. 25%)]]*70%*22000+Tabla5[[#This Row],[IMPACTO ECONÓMICO (Máx. 25%)]]*70%*22000+Tabla5[[#This Row],[IMPACTO SST (Máx. 20%)]]*70%*22000+Tabla5[[#This Row],[IMPACTO PRODUCTIVIDAD (Máx. 25%)]]*70%*22000+Tabla5[[#This Row],[IMPACTO ORDEN Y ASEO (Máx. 5%)]]*70%*22000</f>
        <v>0</v>
      </c>
      <c r="R174" s="49" t="str">
        <f>IFERROR(Tabla5[[#This Row],[PUNTOS VALOR INVERSIÓN]]+Tabla5[[#This Row],[PUNTOS ROI ]]+Tabla5[[#This Row],[PUNTOS FACILIDAD IMPLEM. ]]+Tabla5[[#This Row],[PUNTOS IMPACTO ]],"")</f>
        <v/>
      </c>
      <c r="S174" s="54" t="s">
        <v>399</v>
      </c>
      <c r="T174" s="91"/>
      <c r="U174" s="91"/>
      <c r="V174" s="54"/>
      <c r="W174" s="54"/>
      <c r="X174" s="49"/>
      <c r="Y174" s="49"/>
    </row>
  </sheetData>
  <mergeCells count="4">
    <mergeCell ref="A3:M3"/>
    <mergeCell ref="A1:B1"/>
    <mergeCell ref="T3:Y3"/>
    <mergeCell ref="C1:X1"/>
  </mergeCells>
  <phoneticPr fontId="3" type="noConversion"/>
  <dataValidations count="10">
    <dataValidation type="list" allowBlank="1" showInputMessage="1" showErrorMessage="1" sqref="H5:H174" xr:uid="{D012A802-FF42-43C8-AEFE-0E376B1F80F0}">
      <formula1>"A,B,C"</formula1>
    </dataValidation>
    <dataValidation type="decimal" allowBlank="1" showInputMessage="1" showErrorMessage="1" sqref="I5:J174 L5:L174" xr:uid="{907B54B8-EE84-49C7-9E3F-8199AC338A0F}">
      <formula1>0</formula1>
      <formula2>0.25</formula2>
    </dataValidation>
    <dataValidation type="decimal" allowBlank="1" showInputMessage="1" showErrorMessage="1" sqref="K5:K174" xr:uid="{BD72AA9D-D6A1-4430-A286-6EB0C23E4D89}">
      <formula1>0</formula1>
      <formula2>0.2</formula2>
    </dataValidation>
    <dataValidation type="decimal" allowBlank="1" showInputMessage="1" showErrorMessage="1" sqref="M5:M174" xr:uid="{4A805B6B-7C80-4E3C-80A8-DE92B67122D6}">
      <formula1>0</formula1>
      <formula2>0.05</formula2>
    </dataValidation>
    <dataValidation type="list" allowBlank="1" showInputMessage="1" showErrorMessage="1" sqref="G5:G174" xr:uid="{CB41A500-757F-46E6-B669-2612DE1145E7}">
      <formula1>"N/A,&lt;=3,&gt;3&lt;=6,&gt;6"</formula1>
    </dataValidation>
    <dataValidation type="list" allowBlank="1" showInputMessage="1" showErrorMessage="1" sqref="D5:D174" xr:uid="{08BA4857-6022-4693-9AB2-37FA5F792F09}">
      <formula1>"Comercial,Financiera,Producción,Logística,G.Administrativa,Mantenimiento,G.Técnica,T.Humano,TI,SIG"</formula1>
    </dataValidation>
    <dataValidation type="list" allowBlank="1" showInputMessage="1" showErrorMessage="1" sqref="E5:E174" xr:uid="{8EA8CEF1-44A2-474F-A892-DF6CA6738425}">
      <formula1>"Calificada,Para Calificar,Descartada,En Proceso,Sin Revisar,Ampliar Info"</formula1>
    </dataValidation>
    <dataValidation type="list" allowBlank="1" showInputMessage="1" showErrorMessage="1" sqref="U98 U112:U113 U110 U139:U141 U153 U125 U103:U108 U80 U100 U83 U91 U86 U71 U62 U42:U43 U127:U135 U78 U38:U40 U30:U31 U26 U155 U167:U173 U150:U151 U93:U94 U96 U33:U36 U65:U68 U162 U45:U48 U50:U55 U120:U123 U165 U28 U115:U118 U6:U16 U18:U24 U157:U160 U57:U59 U143:U147" xr:uid="{9F2EC625-14C4-46E2-A556-FD15FCE42DDA}">
      <formula1>"Alta,Media,Baja,No Viable"</formula1>
    </dataValidation>
    <dataValidation type="list" allowBlank="1" showInputMessage="1" showErrorMessage="1" sqref="U95" xr:uid="{AB4A1AE9-7E0E-4A90-882D-81F9F9722C44}">
      <formula1>"Alta,Media,Baja,No Implementable"</formula1>
    </dataValidation>
    <dataValidation type="list" allowBlank="1" showInputMessage="1" showErrorMessage="1" sqref="Y174 Y5:Y172" xr:uid="{88F2C71A-FCAA-4408-95D3-6F9AB8F62820}">
      <formula1>"Sin empezar,En proceso,Implementada,Descartada"</formula1>
    </dataValidation>
  </dataValidation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2C37-E897-433F-94B0-75A1A8CBB19D}">
  <dimension ref="A1:F87"/>
  <sheetViews>
    <sheetView showGridLines="0" zoomScaleNormal="100" workbookViewId="0">
      <selection activeCell="G7" sqref="G7"/>
    </sheetView>
  </sheetViews>
  <sheetFormatPr baseColWidth="10" defaultColWidth="8.88671875" defaultRowHeight="14.4" x14ac:dyDescent="0.3"/>
  <cols>
    <col min="1" max="1" width="29.5546875" bestFit="1" customWidth="1"/>
    <col min="2" max="2" width="13.5546875" bestFit="1" customWidth="1"/>
    <col min="3" max="3" width="14.21875" bestFit="1" customWidth="1"/>
    <col min="4" max="4" width="14.33203125" bestFit="1" customWidth="1"/>
    <col min="5" max="5" width="13.33203125" bestFit="1" customWidth="1"/>
    <col min="6" max="6" width="12.109375" bestFit="1" customWidth="1"/>
    <col min="7" max="7" width="11.5546875" bestFit="1" customWidth="1"/>
  </cols>
  <sheetData>
    <row r="1" spans="1:6" ht="16.2" customHeight="1" x14ac:dyDescent="0.3">
      <c r="A1" s="124" t="s">
        <v>415</v>
      </c>
      <c r="B1" s="125" t="s">
        <v>416</v>
      </c>
      <c r="C1" s="125" t="s">
        <v>417</v>
      </c>
      <c r="D1" s="111" t="s">
        <v>418</v>
      </c>
    </row>
    <row r="2" spans="1:6" x14ac:dyDescent="0.3">
      <c r="A2" s="131" t="s">
        <v>146</v>
      </c>
      <c r="B2" s="128">
        <v>10</v>
      </c>
      <c r="C2" s="129">
        <v>36498</v>
      </c>
      <c r="D2" s="87" t="str">
        <f>VLOOKUP(A2,'Tabla Calif. Puntos'!$B:$D,3,0)</f>
        <v>G.Técnica</v>
      </c>
      <c r="F2" s="84"/>
    </row>
    <row r="3" spans="1:6" x14ac:dyDescent="0.3">
      <c r="A3" s="131" t="s">
        <v>296</v>
      </c>
      <c r="B3" s="127">
        <v>7</v>
      </c>
      <c r="C3" s="127">
        <v>34870</v>
      </c>
      <c r="D3" s="87" t="str">
        <f>VLOOKUP(A3,'Tabla Calif. Puntos'!$B:$D,3,0)</f>
        <v>Comercial</v>
      </c>
      <c r="F3" s="84"/>
    </row>
    <row r="4" spans="1:6" x14ac:dyDescent="0.3">
      <c r="A4" s="131" t="s">
        <v>148</v>
      </c>
      <c r="B4" s="128">
        <v>2</v>
      </c>
      <c r="C4" s="129">
        <v>23518</v>
      </c>
      <c r="D4" s="87" t="str">
        <f>VLOOKUP(A4,'Tabla Calif. Puntos'!$B:$D,3,0)</f>
        <v>Producción</v>
      </c>
      <c r="F4" s="84"/>
    </row>
    <row r="5" spans="1:6" x14ac:dyDescent="0.3">
      <c r="A5" s="131" t="s">
        <v>58</v>
      </c>
      <c r="B5" s="127">
        <v>6</v>
      </c>
      <c r="C5" s="127">
        <v>21208</v>
      </c>
      <c r="D5" s="87" t="str">
        <f>VLOOKUP(A5,'Tabla Calif. Puntos'!$B:$D,3,0)</f>
        <v>Producción</v>
      </c>
      <c r="F5" s="84"/>
    </row>
    <row r="6" spans="1:6" x14ac:dyDescent="0.3">
      <c r="A6" s="132" t="s">
        <v>118</v>
      </c>
      <c r="B6" s="130">
        <v>2</v>
      </c>
      <c r="C6" s="129">
        <v>16280</v>
      </c>
      <c r="D6" s="87" t="str">
        <f>VLOOKUP(A6,'Tabla Calif. Puntos'!$B:$D,3,0)</f>
        <v>G.Técnica</v>
      </c>
    </row>
    <row r="7" spans="1:6" x14ac:dyDescent="0.3">
      <c r="A7" s="131" t="s">
        <v>127</v>
      </c>
      <c r="B7" s="128">
        <v>2</v>
      </c>
      <c r="C7" s="129">
        <v>14190</v>
      </c>
      <c r="D7" s="87" t="str">
        <f>VLOOKUP(A7,'Tabla Calif. Puntos'!$B:$D,3,0)</f>
        <v>TI</v>
      </c>
      <c r="F7" s="105"/>
    </row>
    <row r="8" spans="1:6" x14ac:dyDescent="0.3">
      <c r="A8" s="132" t="s">
        <v>157</v>
      </c>
      <c r="B8" s="130">
        <v>3</v>
      </c>
      <c r="C8" s="129">
        <v>14124</v>
      </c>
      <c r="D8" s="87" t="str">
        <f>VLOOKUP(A8,'Tabla Calif. Puntos'!$B:$D,3,0)</f>
        <v>Producción</v>
      </c>
      <c r="F8" s="48"/>
    </row>
    <row r="9" spans="1:6" x14ac:dyDescent="0.3">
      <c r="A9" s="131" t="s">
        <v>135</v>
      </c>
      <c r="B9" s="127">
        <v>1</v>
      </c>
      <c r="C9" s="129">
        <v>13222</v>
      </c>
      <c r="D9" s="87" t="str">
        <f>VLOOKUP(A9,'Tabla Calif. Puntos'!$B:$D,3,0)</f>
        <v>G.Técnica</v>
      </c>
      <c r="F9" s="105"/>
    </row>
    <row r="10" spans="1:6" x14ac:dyDescent="0.3">
      <c r="A10" s="131" t="s">
        <v>338</v>
      </c>
      <c r="B10" s="127">
        <v>3</v>
      </c>
      <c r="C10" s="129">
        <v>11704</v>
      </c>
      <c r="D10" s="87" t="str">
        <f>VLOOKUP(A10,'Tabla Calif. Puntos'!$B:$D,3,0)</f>
        <v>Comercial</v>
      </c>
      <c r="F10" s="105"/>
    </row>
    <row r="11" spans="1:6" x14ac:dyDescent="0.3">
      <c r="A11" s="131" t="s">
        <v>71</v>
      </c>
      <c r="B11" s="128">
        <v>2</v>
      </c>
      <c r="C11" s="129">
        <v>10703</v>
      </c>
      <c r="D11" s="87" t="str">
        <f>VLOOKUP(A11,'Tabla Calif. Puntos'!$B:$D,3,0)</f>
        <v>Mantenimiento</v>
      </c>
      <c r="F11" s="105"/>
    </row>
    <row r="12" spans="1:6" x14ac:dyDescent="0.3">
      <c r="A12" s="131" t="s">
        <v>160</v>
      </c>
      <c r="B12" s="127">
        <v>3</v>
      </c>
      <c r="C12" s="129">
        <v>9878</v>
      </c>
      <c r="D12" s="87" t="str">
        <f>VLOOKUP(A12,'Tabla Calif. Puntos'!$B:$D,3,0)</f>
        <v>G.Técnica</v>
      </c>
      <c r="F12" s="48"/>
    </row>
    <row r="13" spans="1:6" x14ac:dyDescent="0.3">
      <c r="A13" s="132" t="s">
        <v>253</v>
      </c>
      <c r="B13" s="127">
        <v>1</v>
      </c>
      <c r="C13" s="129">
        <v>9834</v>
      </c>
      <c r="D13" s="87" t="str">
        <f>VLOOKUP(A13,'Tabla Calif. Puntos'!$B:$D,3,0)</f>
        <v>Producción</v>
      </c>
      <c r="F13" s="48"/>
    </row>
    <row r="14" spans="1:6" x14ac:dyDescent="0.3">
      <c r="A14" s="131" t="s">
        <v>288</v>
      </c>
      <c r="B14" s="128">
        <v>1</v>
      </c>
      <c r="C14" s="129">
        <v>9680</v>
      </c>
      <c r="D14" s="87" t="str">
        <f>VLOOKUP(A14,'Tabla Calif. Puntos'!$B:$D,3,0)</f>
        <v>Logística</v>
      </c>
      <c r="F14" s="48"/>
    </row>
    <row r="15" spans="1:6" x14ac:dyDescent="0.3">
      <c r="A15" s="131" t="s">
        <v>346</v>
      </c>
      <c r="B15" s="127">
        <v>2</v>
      </c>
      <c r="C15" s="129">
        <v>9482</v>
      </c>
      <c r="D15" s="87" t="str">
        <f>VLOOKUP(A15,'Tabla Calif. Puntos'!$B:$D,3,0)</f>
        <v>Comercial</v>
      </c>
      <c r="F15" s="41"/>
    </row>
    <row r="16" spans="1:6" x14ac:dyDescent="0.3">
      <c r="A16" s="131" t="s">
        <v>266</v>
      </c>
      <c r="B16" s="127">
        <v>3</v>
      </c>
      <c r="C16" s="129">
        <v>8998</v>
      </c>
      <c r="D16" s="87" t="str">
        <f>VLOOKUP(A16,'Tabla Calif. Puntos'!$B:$D,3,0)</f>
        <v>Producción</v>
      </c>
      <c r="F16" s="41"/>
    </row>
    <row r="17" spans="1:6" x14ac:dyDescent="0.3">
      <c r="A17" s="131" t="s">
        <v>61</v>
      </c>
      <c r="B17" s="127">
        <v>3</v>
      </c>
      <c r="C17" s="129">
        <v>8712</v>
      </c>
      <c r="D17" s="87" t="str">
        <f>VLOOKUP(A17,'Tabla Calif. Puntos'!$B:$D,3,0)</f>
        <v>Producción</v>
      </c>
      <c r="F17" s="41"/>
    </row>
    <row r="18" spans="1:6" x14ac:dyDescent="0.3">
      <c r="A18" s="131" t="s">
        <v>226</v>
      </c>
      <c r="B18" s="127">
        <v>2</v>
      </c>
      <c r="C18" s="129">
        <v>8558</v>
      </c>
      <c r="D18" s="87" t="str">
        <f>VLOOKUP(A18,'Tabla Calif. Puntos'!$B:$D,3,0)</f>
        <v>Producción</v>
      </c>
      <c r="F18" s="41"/>
    </row>
    <row r="19" spans="1:6" x14ac:dyDescent="0.3">
      <c r="A19" s="131" t="s">
        <v>259</v>
      </c>
      <c r="B19" s="127">
        <v>1</v>
      </c>
      <c r="C19" s="129">
        <v>8492</v>
      </c>
      <c r="D19" s="87" t="str">
        <f>VLOOKUP(A19,'Tabla Calif. Puntos'!$B:$D,3,0)</f>
        <v>Producción</v>
      </c>
      <c r="F19" s="41"/>
    </row>
    <row r="20" spans="1:6" x14ac:dyDescent="0.3">
      <c r="A20" s="131" t="s">
        <v>308</v>
      </c>
      <c r="B20" s="127">
        <v>1</v>
      </c>
      <c r="C20" s="129">
        <v>8470</v>
      </c>
      <c r="D20" s="87" t="str">
        <f>VLOOKUP(A20,'Tabla Calif. Puntos'!$B:$D,3,0)</f>
        <v>Comercial</v>
      </c>
      <c r="F20" s="41"/>
    </row>
    <row r="21" spans="1:6" x14ac:dyDescent="0.3">
      <c r="A21" s="131" t="s">
        <v>114</v>
      </c>
      <c r="B21" s="127">
        <v>4</v>
      </c>
      <c r="C21" s="129">
        <v>8316</v>
      </c>
      <c r="D21" s="87" t="str">
        <f>VLOOKUP(A21,'Tabla Calif. Puntos'!$B:$D,3,0)</f>
        <v>Producción</v>
      </c>
      <c r="F21" s="41"/>
    </row>
    <row r="22" spans="1:6" x14ac:dyDescent="0.3">
      <c r="A22" s="131" t="s">
        <v>99</v>
      </c>
      <c r="B22" s="127">
        <v>1</v>
      </c>
      <c r="C22" s="129">
        <v>7832</v>
      </c>
      <c r="D22" s="87" t="str">
        <f>VLOOKUP(A22,'Tabla Calif. Puntos'!$B:$D,3,0)</f>
        <v>Producción</v>
      </c>
      <c r="F22" s="41"/>
    </row>
    <row r="23" spans="1:6" x14ac:dyDescent="0.3">
      <c r="A23" s="131" t="s">
        <v>318</v>
      </c>
      <c r="B23" s="127">
        <v>1</v>
      </c>
      <c r="C23" s="129">
        <v>7128</v>
      </c>
      <c r="D23" s="87" t="str">
        <f>VLOOKUP(A23,'Tabla Calif. Puntos'!$B:$D,3,0)</f>
        <v>Comercial</v>
      </c>
      <c r="F23" s="41"/>
    </row>
    <row r="24" spans="1:6" x14ac:dyDescent="0.3">
      <c r="A24" s="131" t="s">
        <v>88</v>
      </c>
      <c r="B24" s="127">
        <v>3</v>
      </c>
      <c r="C24" s="129">
        <v>7106</v>
      </c>
      <c r="D24" s="87" t="str">
        <f>VLOOKUP(A24,'Tabla Calif. Puntos'!$B:$D,3,0)</f>
        <v>Producción</v>
      </c>
      <c r="F24" s="41"/>
    </row>
    <row r="25" spans="1:6" x14ac:dyDescent="0.3">
      <c r="A25" s="132" t="s">
        <v>207</v>
      </c>
      <c r="B25" s="127">
        <v>3</v>
      </c>
      <c r="C25" s="129">
        <v>6996</v>
      </c>
      <c r="D25" s="87" t="str">
        <f>VLOOKUP(A25,'Tabla Calif. Puntos'!$B:$D,3,0)</f>
        <v>TI</v>
      </c>
      <c r="F25" s="48"/>
    </row>
    <row r="26" spans="1:6" x14ac:dyDescent="0.3">
      <c r="A26" s="131" t="s">
        <v>176</v>
      </c>
      <c r="B26" s="128">
        <v>2</v>
      </c>
      <c r="C26" s="129">
        <v>6930</v>
      </c>
      <c r="D26" s="87" t="str">
        <f>VLOOKUP(A26,'Tabla Calif. Puntos'!$B:$D,3,0)</f>
        <v>Mantenimiento</v>
      </c>
      <c r="F26" s="41"/>
    </row>
    <row r="27" spans="1:6" x14ac:dyDescent="0.3">
      <c r="A27" s="132" t="s">
        <v>246</v>
      </c>
      <c r="B27" s="127">
        <v>1</v>
      </c>
      <c r="C27" s="129">
        <v>6248</v>
      </c>
      <c r="D27" s="87" t="str">
        <f>VLOOKUP(A27,'Tabla Calif. Puntos'!$B:$D,3,0)</f>
        <v>Producción</v>
      </c>
      <c r="F27" s="41"/>
    </row>
    <row r="28" spans="1:6" x14ac:dyDescent="0.3">
      <c r="A28" s="131" t="s">
        <v>209</v>
      </c>
      <c r="B28" s="127">
        <v>3</v>
      </c>
      <c r="C28" s="129">
        <v>6182</v>
      </c>
      <c r="D28" s="87" t="str">
        <f>VLOOKUP(A28,'Tabla Calif. Puntos'!$B:$D,3,0)</f>
        <v>Producción</v>
      </c>
      <c r="F28" s="41"/>
    </row>
    <row r="29" spans="1:6" x14ac:dyDescent="0.3">
      <c r="A29" s="131" t="s">
        <v>233</v>
      </c>
      <c r="B29" s="127">
        <v>2</v>
      </c>
      <c r="C29" s="129">
        <v>6094</v>
      </c>
      <c r="D29" s="87" t="str">
        <f>VLOOKUP(A29,'Tabla Calif. Puntos'!$B:$D,3,0)</f>
        <v>Producción</v>
      </c>
      <c r="F29" s="48"/>
    </row>
    <row r="30" spans="1:6" x14ac:dyDescent="0.3">
      <c r="A30" s="131" t="s">
        <v>125</v>
      </c>
      <c r="B30" s="127">
        <v>4</v>
      </c>
      <c r="C30" s="129">
        <v>6050</v>
      </c>
      <c r="D30" s="87" t="str">
        <f>VLOOKUP(A30,'Tabla Calif. Puntos'!$B:$D,3,0)</f>
        <v>Producción</v>
      </c>
      <c r="F30" s="48"/>
    </row>
    <row r="31" spans="1:6" x14ac:dyDescent="0.3">
      <c r="A31" s="131" t="s">
        <v>378</v>
      </c>
      <c r="B31" s="127">
        <v>5</v>
      </c>
      <c r="C31" s="129">
        <v>5940</v>
      </c>
      <c r="D31" s="87" t="str">
        <f>VLOOKUP(A31,'Tabla Calif. Puntos'!$B:$D,3,0)</f>
        <v>Producción</v>
      </c>
      <c r="F31" s="48"/>
    </row>
    <row r="32" spans="1:6" x14ac:dyDescent="0.3">
      <c r="A32" s="131" t="s">
        <v>229</v>
      </c>
      <c r="B32" s="127">
        <v>3</v>
      </c>
      <c r="C32" s="129">
        <v>5632</v>
      </c>
      <c r="D32" s="87" t="str">
        <f>VLOOKUP(A32,'Tabla Calif. Puntos'!$B:$D,3,0)</f>
        <v>Producción</v>
      </c>
      <c r="F32" s="48"/>
    </row>
    <row r="33" spans="1:6" x14ac:dyDescent="0.3">
      <c r="A33" s="131" t="s">
        <v>279</v>
      </c>
      <c r="B33" s="128">
        <v>1</v>
      </c>
      <c r="C33" s="129">
        <v>5632</v>
      </c>
      <c r="D33" s="87" t="str">
        <f>VLOOKUP(A33,'Tabla Calif. Puntos'!$B:$D,3,0)</f>
        <v>Financiera</v>
      </c>
      <c r="F33" s="48"/>
    </row>
    <row r="34" spans="1:6" x14ac:dyDescent="0.3">
      <c r="A34" s="131" t="s">
        <v>375</v>
      </c>
      <c r="B34" s="127">
        <v>1</v>
      </c>
      <c r="C34" s="129">
        <v>5632</v>
      </c>
      <c r="D34" s="87" t="str">
        <f>VLOOKUP(A34,'Tabla Calif. Puntos'!$B:$D,3,0)</f>
        <v>Producción</v>
      </c>
      <c r="F34" s="48"/>
    </row>
    <row r="35" spans="1:6" x14ac:dyDescent="0.3">
      <c r="A35" s="131" t="s">
        <v>272</v>
      </c>
      <c r="B35" s="127">
        <v>2</v>
      </c>
      <c r="C35" s="129">
        <v>5544</v>
      </c>
      <c r="D35" s="87" t="str">
        <f>VLOOKUP(A35,'Tabla Calif. Puntos'!$B:$D,3,0)</f>
        <v>Logística</v>
      </c>
      <c r="F35" s="48"/>
    </row>
    <row r="36" spans="1:6" x14ac:dyDescent="0.3">
      <c r="A36" s="131" t="s">
        <v>392</v>
      </c>
      <c r="B36" s="127">
        <v>1</v>
      </c>
      <c r="C36" s="129">
        <v>5478</v>
      </c>
      <c r="D36" s="87" t="str">
        <f>VLOOKUP(A36,'Tabla Calif. Puntos'!$B:$D,3,0)</f>
        <v>Producción</v>
      </c>
      <c r="F36" s="41"/>
    </row>
    <row r="37" spans="1:6" x14ac:dyDescent="0.3">
      <c r="A37" s="131" t="s">
        <v>70</v>
      </c>
      <c r="B37" s="127">
        <v>5</v>
      </c>
      <c r="C37" s="129">
        <v>5478</v>
      </c>
      <c r="D37" s="87" t="str">
        <f>VLOOKUP(A37,'Tabla Calif. Puntos'!$B:$D,3,0)</f>
        <v>Producción</v>
      </c>
    </row>
    <row r="38" spans="1:6" x14ac:dyDescent="0.3">
      <c r="A38" s="131" t="s">
        <v>302</v>
      </c>
      <c r="B38" s="127">
        <v>3</v>
      </c>
      <c r="C38" s="129">
        <v>5279.9999999999991</v>
      </c>
      <c r="D38" s="87" t="str">
        <f>VLOOKUP(A38,'Tabla Calif. Puntos'!$B:$D,3,0)</f>
        <v>Mantenimiento</v>
      </c>
    </row>
    <row r="39" spans="1:6" x14ac:dyDescent="0.3">
      <c r="A39" s="131" t="s">
        <v>212</v>
      </c>
      <c r="B39" s="128">
        <v>1</v>
      </c>
      <c r="C39" s="129">
        <v>5016</v>
      </c>
      <c r="D39" s="87" t="str">
        <f>VLOOKUP(A39,'Tabla Calif. Puntos'!$B:$D,3,0)</f>
        <v>TI</v>
      </c>
    </row>
    <row r="40" spans="1:6" x14ac:dyDescent="0.3">
      <c r="A40" s="131" t="s">
        <v>174</v>
      </c>
      <c r="B40" s="127">
        <v>3</v>
      </c>
      <c r="C40" s="129">
        <v>4950</v>
      </c>
      <c r="D40" s="87" t="str">
        <f>VLOOKUP(A40,'Tabla Calif. Puntos'!$B:$D,3,0)</f>
        <v>Producción</v>
      </c>
    </row>
    <row r="41" spans="1:6" x14ac:dyDescent="0.3">
      <c r="A41" s="131" t="s">
        <v>106</v>
      </c>
      <c r="B41" s="127">
        <v>1</v>
      </c>
      <c r="C41" s="129">
        <v>4862</v>
      </c>
      <c r="D41" s="87" t="str">
        <f>VLOOKUP(A41,'Tabla Calif. Puntos'!$B:$D,3,0)</f>
        <v>Producción</v>
      </c>
    </row>
    <row r="42" spans="1:6" x14ac:dyDescent="0.3">
      <c r="A42" s="131" t="s">
        <v>295</v>
      </c>
      <c r="B42" s="127">
        <v>2</v>
      </c>
      <c r="C42" s="129">
        <v>4840</v>
      </c>
      <c r="D42" s="87" t="str">
        <f>VLOOKUP(A42,'Tabla Calif. Puntos'!$B:$D,3,0)</f>
        <v>Producción</v>
      </c>
    </row>
    <row r="43" spans="1:6" x14ac:dyDescent="0.3">
      <c r="A43" s="131" t="s">
        <v>93</v>
      </c>
      <c r="B43" s="127">
        <v>3</v>
      </c>
      <c r="C43" s="129">
        <v>4466</v>
      </c>
      <c r="D43" s="87" t="str">
        <f>VLOOKUP(A43,'Tabla Calif. Puntos'!$B:$D,3,0)</f>
        <v>Comercial</v>
      </c>
    </row>
    <row r="44" spans="1:6" x14ac:dyDescent="0.3">
      <c r="A44" s="131" t="s">
        <v>200</v>
      </c>
      <c r="B44" s="127">
        <v>1</v>
      </c>
      <c r="C44" s="129">
        <v>4400</v>
      </c>
      <c r="D44" s="87" t="str">
        <f>VLOOKUP(A44,'Tabla Calif. Puntos'!$B:$D,3,0)</f>
        <v>Producción</v>
      </c>
    </row>
    <row r="45" spans="1:6" x14ac:dyDescent="0.3">
      <c r="A45" s="131" t="s">
        <v>284</v>
      </c>
      <c r="B45" s="128">
        <v>1</v>
      </c>
      <c r="C45" s="129">
        <v>4070</v>
      </c>
      <c r="D45" s="87" t="str">
        <f>VLOOKUP(A45,'Tabla Calif. Puntos'!$B:$D,3,0)</f>
        <v>Financiera</v>
      </c>
    </row>
    <row r="46" spans="1:6" x14ac:dyDescent="0.3">
      <c r="A46" s="131" t="s">
        <v>82</v>
      </c>
      <c r="B46" s="127">
        <v>1</v>
      </c>
      <c r="C46" s="129">
        <v>3960</v>
      </c>
      <c r="D46" s="87" t="str">
        <f>VLOOKUP(A46,'Tabla Calif. Puntos'!$B:$D,3,0)</f>
        <v>Mantenimiento</v>
      </c>
    </row>
    <row r="47" spans="1:6" x14ac:dyDescent="0.3">
      <c r="A47" s="132" t="s">
        <v>292</v>
      </c>
      <c r="B47" s="127">
        <v>1</v>
      </c>
      <c r="C47" s="129">
        <v>3300</v>
      </c>
      <c r="D47" s="87" t="str">
        <f>VLOOKUP(A47,'Tabla Calif. Puntos'!$B:$D,3,0)</f>
        <v>Producción</v>
      </c>
    </row>
    <row r="48" spans="1:6" x14ac:dyDescent="0.3">
      <c r="A48" s="131" t="s">
        <v>197</v>
      </c>
      <c r="B48" s="127">
        <v>1</v>
      </c>
      <c r="C48" s="129">
        <v>3014</v>
      </c>
      <c r="D48" s="87" t="str">
        <f>VLOOKUP(A48,'Tabla Calif. Puntos'!$B:$D,3,0)</f>
        <v>Producción</v>
      </c>
    </row>
    <row r="49" spans="1:4" x14ac:dyDescent="0.3">
      <c r="A49" s="131" t="s">
        <v>238</v>
      </c>
      <c r="B49" s="128">
        <v>1</v>
      </c>
      <c r="C49" s="129">
        <v>0</v>
      </c>
      <c r="D49" s="87" t="str">
        <f>VLOOKUP(A49,'Tabla Calif. Puntos'!$B:$D,3,0)</f>
        <v>TI</v>
      </c>
    </row>
    <row r="50" spans="1:4" x14ac:dyDescent="0.3">
      <c r="A50" s="131" t="s">
        <v>256</v>
      </c>
      <c r="B50" s="127">
        <v>1</v>
      </c>
      <c r="C50" s="129">
        <v>0</v>
      </c>
      <c r="D50" s="87" t="str">
        <f>VLOOKUP(A50,'Tabla Calif. Puntos'!$B:$D,3,0)</f>
        <v>Producción</v>
      </c>
    </row>
    <row r="51" spans="1:4" x14ac:dyDescent="0.3">
      <c r="A51" s="131" t="s">
        <v>143</v>
      </c>
      <c r="B51" s="128">
        <v>1</v>
      </c>
      <c r="C51" s="129">
        <v>0</v>
      </c>
      <c r="D51" s="87" t="str">
        <f>VLOOKUP(A51,'Tabla Calif. Puntos'!$B:$D,3,0)</f>
        <v>T.Humano</v>
      </c>
    </row>
    <row r="52" spans="1:4" x14ac:dyDescent="0.3">
      <c r="A52" s="131" t="s">
        <v>236</v>
      </c>
      <c r="B52" s="127">
        <v>2</v>
      </c>
      <c r="C52" s="129">
        <v>0</v>
      </c>
      <c r="D52" s="87" t="str">
        <f>VLOOKUP(A52,'Tabla Calif. Puntos'!$B:$D,3,0)</f>
        <v>Logística</v>
      </c>
    </row>
    <row r="53" spans="1:4" x14ac:dyDescent="0.3">
      <c r="A53" s="131" t="s">
        <v>222</v>
      </c>
      <c r="B53" s="128">
        <v>1</v>
      </c>
      <c r="C53" s="129">
        <v>0</v>
      </c>
      <c r="D53" s="87" t="str">
        <f>VLOOKUP(A53,'Tabla Calif. Puntos'!$B:$D,3,0)</f>
        <v>Logística</v>
      </c>
    </row>
    <row r="54" spans="1:4" x14ac:dyDescent="0.3">
      <c r="A54" s="131" t="s">
        <v>242</v>
      </c>
      <c r="B54" s="127">
        <v>1</v>
      </c>
      <c r="C54" s="129">
        <v>0</v>
      </c>
      <c r="D54" s="87" t="str">
        <f>VLOOKUP(A54,'Tabla Calif. Puntos'!$B:$D,3,0)</f>
        <v>Logística</v>
      </c>
    </row>
    <row r="55" spans="1:4" x14ac:dyDescent="0.3">
      <c r="A55" s="131" t="s">
        <v>191</v>
      </c>
      <c r="B55" s="127">
        <v>1</v>
      </c>
      <c r="C55" s="129">
        <v>0</v>
      </c>
      <c r="D55" s="87" t="str">
        <f>VLOOKUP(A55,'Tabla Calif. Puntos'!$B:$D,3,0)</f>
        <v>Producción</v>
      </c>
    </row>
    <row r="56" spans="1:4" x14ac:dyDescent="0.3">
      <c r="A56" s="132" t="s">
        <v>181</v>
      </c>
      <c r="B56" s="130">
        <v>1</v>
      </c>
      <c r="C56" s="129">
        <v>0</v>
      </c>
      <c r="D56" s="110" t="str">
        <f>VLOOKUP(A56,'Tabla Calif. Puntos'!$B:$D,3,0)</f>
        <v>Mantenimiento</v>
      </c>
    </row>
    <row r="57" spans="1:4" x14ac:dyDescent="0.3">
      <c r="A57" s="131" t="s">
        <v>139</v>
      </c>
      <c r="B57" s="127">
        <v>2</v>
      </c>
      <c r="C57" s="129">
        <v>0</v>
      </c>
      <c r="D57" s="87" t="s">
        <v>119</v>
      </c>
    </row>
    <row r="58" spans="1:4" x14ac:dyDescent="0.3">
      <c r="A58" s="131" t="s">
        <v>56</v>
      </c>
      <c r="B58" s="127">
        <v>2</v>
      </c>
      <c r="C58" s="129">
        <v>0</v>
      </c>
      <c r="D58" s="87" t="str">
        <f>VLOOKUP(A58,'Tabla Calif. Puntos'!$B:$D,3,0)</f>
        <v>G.Administrativa</v>
      </c>
    </row>
    <row r="59" spans="1:4" x14ac:dyDescent="0.3">
      <c r="A59" s="131" t="s">
        <v>225</v>
      </c>
      <c r="B59" s="127">
        <v>1</v>
      </c>
      <c r="C59" s="129">
        <v>0</v>
      </c>
      <c r="D59" s="87" t="str">
        <f>VLOOKUP(A59,'Tabla Calif. Puntos'!$B:$D,3,0)</f>
        <v>Producción</v>
      </c>
    </row>
    <row r="60" spans="1:4" x14ac:dyDescent="0.3">
      <c r="A60" s="131" t="s">
        <v>141</v>
      </c>
      <c r="B60" s="127">
        <v>1</v>
      </c>
      <c r="C60" s="129">
        <v>0</v>
      </c>
      <c r="D60" s="87" t="str">
        <f>VLOOKUP(A60,'Tabla Calif. Puntos'!$B:$D,3,0)</f>
        <v>Producción</v>
      </c>
    </row>
    <row r="61" spans="1:4" x14ac:dyDescent="0.3">
      <c r="A61" s="131" t="s">
        <v>221</v>
      </c>
      <c r="B61" s="128">
        <v>3</v>
      </c>
      <c r="C61" s="129">
        <v>0</v>
      </c>
      <c r="D61" s="87" t="str">
        <f>VLOOKUP(A61,'Tabla Calif. Puntos'!$B:$D,3,0)</f>
        <v>Logística</v>
      </c>
    </row>
    <row r="62" spans="1:4" x14ac:dyDescent="0.3">
      <c r="A62" s="131" t="s">
        <v>133</v>
      </c>
      <c r="B62" s="127">
        <v>1</v>
      </c>
      <c r="C62" s="129">
        <v>0</v>
      </c>
      <c r="D62" s="87" t="str">
        <f>VLOOKUP(A62,'Tabla Calif. Puntos'!$B:$D,3,0)</f>
        <v>Producción</v>
      </c>
    </row>
    <row r="63" spans="1:4" x14ac:dyDescent="0.3">
      <c r="A63" s="131" t="s">
        <v>397</v>
      </c>
      <c r="B63" s="127">
        <v>1</v>
      </c>
      <c r="C63" s="129">
        <v>0</v>
      </c>
      <c r="D63" s="87" t="str">
        <f>VLOOKUP(A63,'Tabla Calif. Puntos'!$B:$D,3,0)</f>
        <v>Producción</v>
      </c>
    </row>
    <row r="64" spans="1:4" x14ac:dyDescent="0.3">
      <c r="A64" s="131" t="s">
        <v>240</v>
      </c>
      <c r="B64" s="128">
        <v>3</v>
      </c>
      <c r="C64" s="129">
        <v>0</v>
      </c>
      <c r="D64" s="87" t="str">
        <f>VLOOKUP(A64,'Tabla Calif. Puntos'!$B:$D,3,0)</f>
        <v>Logística</v>
      </c>
    </row>
    <row r="65" spans="1:4" x14ac:dyDescent="0.3">
      <c r="A65" s="131" t="s">
        <v>277</v>
      </c>
      <c r="B65" s="127">
        <v>1</v>
      </c>
      <c r="C65" s="129">
        <v>0</v>
      </c>
      <c r="D65" s="87" t="str">
        <f>VLOOKUP(A65,'Tabla Calif. Puntos'!$B:$D,3,0)</f>
        <v>Financiera</v>
      </c>
    </row>
    <row r="66" spans="1:4" x14ac:dyDescent="0.3">
      <c r="A66" s="131" t="s">
        <v>217</v>
      </c>
      <c r="B66" s="128">
        <v>1</v>
      </c>
      <c r="C66" s="129">
        <v>0</v>
      </c>
      <c r="D66" s="87" t="str">
        <f>VLOOKUP(A66,'Tabla Calif. Puntos'!$B:$D,3,0)</f>
        <v>Logística</v>
      </c>
    </row>
    <row r="67" spans="1:4" x14ac:dyDescent="0.3">
      <c r="A67" s="132" t="s">
        <v>239</v>
      </c>
      <c r="B67" s="127">
        <v>3</v>
      </c>
      <c r="C67" s="129">
        <v>0</v>
      </c>
      <c r="D67" s="87" t="str">
        <f>VLOOKUP(A67,'Tabla Calif. Puntos'!$B:$D,3,0)</f>
        <v>Logística</v>
      </c>
    </row>
    <row r="68" spans="1:4" x14ac:dyDescent="0.3">
      <c r="A68" s="131" t="s">
        <v>342</v>
      </c>
      <c r="B68" s="127">
        <v>1</v>
      </c>
      <c r="C68" s="129">
        <v>0</v>
      </c>
      <c r="D68" s="87" t="str">
        <f>VLOOKUP(A68,'Tabla Calif. Puntos'!$B:$D,3,0)</f>
        <v>Comercial</v>
      </c>
    </row>
    <row r="69" spans="1:4" x14ac:dyDescent="0.3">
      <c r="A69" s="131" t="s">
        <v>223</v>
      </c>
      <c r="B69" s="128">
        <v>1</v>
      </c>
      <c r="C69" s="129">
        <v>0</v>
      </c>
      <c r="D69" s="87" t="str">
        <f>VLOOKUP(A69,'Tabla Calif. Puntos'!$B:$D,3,0)</f>
        <v>Logística</v>
      </c>
    </row>
    <row r="70" spans="1:4" x14ac:dyDescent="0.3">
      <c r="A70" s="131" t="s">
        <v>359</v>
      </c>
      <c r="B70" s="127">
        <v>1</v>
      </c>
      <c r="C70" s="129">
        <v>0</v>
      </c>
      <c r="D70" s="87" t="str">
        <f>VLOOKUP(A70,'Tabla Calif. Puntos'!$B:$D,3,0)</f>
        <v>Comercial</v>
      </c>
    </row>
    <row r="71" spans="1:4" x14ac:dyDescent="0.3">
      <c r="A71" s="131" t="s">
        <v>220</v>
      </c>
      <c r="B71" s="128">
        <v>2</v>
      </c>
      <c r="C71" s="129">
        <v>0</v>
      </c>
      <c r="D71" s="87" t="str">
        <f>VLOOKUP(A71,'Tabla Calif. Puntos'!$B:$D,3,0)</f>
        <v>Logística</v>
      </c>
    </row>
    <row r="72" spans="1:4" x14ac:dyDescent="0.3">
      <c r="A72" s="131" t="s">
        <v>243</v>
      </c>
      <c r="B72" s="127">
        <v>2</v>
      </c>
      <c r="C72" s="129">
        <v>0</v>
      </c>
      <c r="D72" s="87" t="str">
        <f>VLOOKUP(A72,'Tabla Calif. Puntos'!$B:$D,3,0)</f>
        <v>Logística</v>
      </c>
    </row>
    <row r="73" spans="1:4" x14ac:dyDescent="0.3">
      <c r="A73" s="131" t="s">
        <v>166</v>
      </c>
      <c r="B73" s="128">
        <v>1</v>
      </c>
      <c r="C73" s="129">
        <v>0</v>
      </c>
      <c r="D73" s="87" t="str">
        <f>VLOOKUP(A73,'Tabla Calif. Puntos'!$B:$D,3,0)</f>
        <v>G.Técnica</v>
      </c>
    </row>
    <row r="74" spans="1:4" x14ac:dyDescent="0.3">
      <c r="A74" s="131" t="s">
        <v>312</v>
      </c>
      <c r="B74" s="127">
        <v>2</v>
      </c>
      <c r="C74" s="129">
        <v>0</v>
      </c>
      <c r="D74" s="87" t="str">
        <f>VLOOKUP(A74,'Tabla Calif. Puntos'!$B:$D,3,0)</f>
        <v>Comercial</v>
      </c>
    </row>
    <row r="75" spans="1:4" x14ac:dyDescent="0.3">
      <c r="A75" s="131" t="s">
        <v>330</v>
      </c>
      <c r="B75" s="127">
        <v>1</v>
      </c>
      <c r="C75" s="129">
        <v>0</v>
      </c>
      <c r="D75" s="87" t="str">
        <f>VLOOKUP(A75,'Tabla Calif. Puntos'!$B:$D,3,0)</f>
        <v>Comercial</v>
      </c>
    </row>
    <row r="76" spans="1:4" x14ac:dyDescent="0.3">
      <c r="A76" s="131" t="s">
        <v>155</v>
      </c>
      <c r="B76" s="127">
        <v>2</v>
      </c>
      <c r="C76" s="129">
        <v>0</v>
      </c>
      <c r="D76" s="87" t="str">
        <f>VLOOKUP(A76,'Tabla Calif. Puntos'!$B:$D,3,0)</f>
        <v>Producción</v>
      </c>
    </row>
    <row r="77" spans="1:4" x14ac:dyDescent="0.3">
      <c r="A77" s="131" t="s">
        <v>249</v>
      </c>
      <c r="B77" s="127">
        <v>1</v>
      </c>
      <c r="C77" s="129">
        <v>0</v>
      </c>
      <c r="D77" s="87" t="str">
        <f>VLOOKUP(A77,'Tabla Calif. Puntos'!$B:$D,3,0)</f>
        <v>Producción</v>
      </c>
    </row>
    <row r="78" spans="1:4" x14ac:dyDescent="0.3">
      <c r="A78" s="131" t="s">
        <v>276</v>
      </c>
      <c r="B78" s="127">
        <v>1</v>
      </c>
      <c r="C78" s="129">
        <v>0</v>
      </c>
      <c r="D78" s="87" t="str">
        <f>VLOOKUP(A78,'Tabla Calif. Puntos'!$B:$D,3,0)</f>
        <v>Logística</v>
      </c>
    </row>
    <row r="79" spans="1:4" x14ac:dyDescent="0.3">
      <c r="A79" s="131" t="s">
        <v>59</v>
      </c>
      <c r="B79" s="128">
        <v>1</v>
      </c>
      <c r="C79" s="129">
        <v>0</v>
      </c>
      <c r="D79" s="87" t="str">
        <f>VLOOKUP(A79,'Tabla Calif. Puntos'!$B:$D,3,0)</f>
        <v>SIG</v>
      </c>
    </row>
    <row r="80" spans="1:4" x14ac:dyDescent="0.3">
      <c r="A80" s="131" t="s">
        <v>241</v>
      </c>
      <c r="B80" s="128">
        <v>2</v>
      </c>
      <c r="C80" s="129">
        <v>0</v>
      </c>
      <c r="D80" s="87" t="str">
        <f>VLOOKUP(A80,'Tabla Calif. Puntos'!$B:$D,3,0)</f>
        <v>Logística</v>
      </c>
    </row>
    <row r="81" spans="1:4" x14ac:dyDescent="0.3">
      <c r="A81" s="131" t="s">
        <v>307</v>
      </c>
      <c r="B81" s="127">
        <v>1</v>
      </c>
      <c r="C81" s="129">
        <v>0</v>
      </c>
      <c r="D81" s="87" t="str">
        <f>VLOOKUP(A81,'Tabla Calif. Puntos'!$B:$D,3,0)</f>
        <v>Producción</v>
      </c>
    </row>
    <row r="82" spans="1:4" x14ac:dyDescent="0.3">
      <c r="A82" s="131" t="s">
        <v>328</v>
      </c>
      <c r="B82" s="128">
        <v>2</v>
      </c>
      <c r="C82" s="129">
        <v>0</v>
      </c>
      <c r="D82" s="87" t="str">
        <f>VLOOKUP(A82,'Tabla Calif. Puntos'!$B:$D,3,0)</f>
        <v>Comercial</v>
      </c>
    </row>
    <row r="83" spans="1:4" x14ac:dyDescent="0.3">
      <c r="A83" s="131" t="s">
        <v>53</v>
      </c>
      <c r="B83" s="127">
        <v>3</v>
      </c>
      <c r="C83" s="129">
        <v>0</v>
      </c>
      <c r="D83" s="87" t="str">
        <f>VLOOKUP(A83,'Tabla Calif. Puntos'!$B:$D,3,0)</f>
        <v>Producción</v>
      </c>
    </row>
    <row r="84" spans="1:4" x14ac:dyDescent="0.3">
      <c r="A84" s="131" t="s">
        <v>244</v>
      </c>
      <c r="B84" s="127">
        <v>2</v>
      </c>
      <c r="C84" s="129">
        <v>0</v>
      </c>
      <c r="D84" s="87" t="s">
        <v>119</v>
      </c>
    </row>
    <row r="85" spans="1:4" x14ac:dyDescent="0.3">
      <c r="A85" s="131" t="s">
        <v>237</v>
      </c>
      <c r="B85" s="127">
        <v>1</v>
      </c>
      <c r="C85" s="129">
        <v>0</v>
      </c>
      <c r="D85" s="87" t="str">
        <f>VLOOKUP(A85,'Tabla Calif. Puntos'!$B:$D,3,0)</f>
        <v>Producción</v>
      </c>
    </row>
    <row r="86" spans="1:4" x14ac:dyDescent="0.3">
      <c r="A86" s="126" t="s">
        <v>419</v>
      </c>
      <c r="B86" s="127">
        <v>170</v>
      </c>
      <c r="C86" s="127">
        <v>434797</v>
      </c>
      <c r="D86" s="87"/>
    </row>
    <row r="87" spans="1:4" x14ac:dyDescent="0.3">
      <c r="D87" s="87"/>
    </row>
  </sheetData>
  <autoFilter ref="A1:D87" xr:uid="{CBF82C37-E897-433F-94B0-75A1A8CBB19D}"/>
  <conditionalFormatting pivot="1" sqref="B2:B86">
    <cfRule type="cellIs" dxfId="3" priority="4" operator="equal">
      <formula>4</formula>
    </cfRule>
  </conditionalFormatting>
  <conditionalFormatting pivot="1" sqref="B2:B86">
    <cfRule type="cellIs" dxfId="2" priority="3" operator="equal">
      <formula>5</formula>
    </cfRule>
  </conditionalFormatting>
  <conditionalFormatting pivot="1" sqref="B2:B86">
    <cfRule type="cellIs" dxfId="1" priority="2" operator="greaterThan">
      <formula>5</formula>
    </cfRule>
  </conditionalFormatting>
  <conditionalFormatting pivot="1" sqref="B2:B86">
    <cfRule type="cellIs" dxfId="0" priority="1" operator="lessThan">
      <formula>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F676D-54BB-47DC-8AE2-F3C4BC199DCA}">
  <dimension ref="A1:F28"/>
  <sheetViews>
    <sheetView showGridLines="0" zoomScale="110" zoomScaleNormal="110" workbookViewId="0">
      <selection activeCell="I11" sqref="I11"/>
    </sheetView>
  </sheetViews>
  <sheetFormatPr baseColWidth="10" defaultColWidth="11.44140625" defaultRowHeight="14.4" x14ac:dyDescent="0.3"/>
  <cols>
    <col min="1" max="1" width="28.44140625" bestFit="1" customWidth="1"/>
    <col min="2" max="2" width="13.44140625" style="4" bestFit="1" customWidth="1"/>
    <col min="3" max="3" width="13.109375" customWidth="1"/>
    <col min="4" max="4" width="12.6640625" style="4" customWidth="1"/>
    <col min="5" max="5" width="16.33203125" style="4" customWidth="1"/>
    <col min="6" max="6" width="12.44140625" style="4" customWidth="1"/>
  </cols>
  <sheetData>
    <row r="1" spans="1:6" s="3" customFormat="1" x14ac:dyDescent="0.3">
      <c r="A1" s="3" t="s">
        <v>420</v>
      </c>
      <c r="B1" s="6" t="s">
        <v>421</v>
      </c>
      <c r="C1" s="3" t="s">
        <v>422</v>
      </c>
      <c r="D1" s="6" t="s">
        <v>414</v>
      </c>
      <c r="E1" s="6" t="s">
        <v>423</v>
      </c>
      <c r="F1" s="6" t="s">
        <v>424</v>
      </c>
    </row>
    <row r="2" spans="1:6" ht="28.8" x14ac:dyDescent="0.3">
      <c r="A2" s="87" t="s">
        <v>425</v>
      </c>
      <c r="B2" s="4">
        <v>4500000</v>
      </c>
      <c r="C2">
        <v>1</v>
      </c>
      <c r="D2" s="4">
        <f t="shared" ref="D2:D26" si="0">B2*C2</f>
        <v>4500000</v>
      </c>
      <c r="E2" s="28">
        <v>50</v>
      </c>
      <c r="F2" s="83">
        <f>Tabla2[[#This Row],[Valor]]/Tabla2[[#This Row],[Valor Punto]]</f>
        <v>90000</v>
      </c>
    </row>
    <row r="3" spans="1:6" x14ac:dyDescent="0.3">
      <c r="A3" t="s">
        <v>426</v>
      </c>
      <c r="B3" s="4">
        <v>2500000</v>
      </c>
      <c r="C3">
        <v>1</v>
      </c>
      <c r="D3" s="4">
        <f t="shared" si="0"/>
        <v>2500000</v>
      </c>
      <c r="E3" s="28">
        <v>35</v>
      </c>
      <c r="F3" s="83">
        <f>Tabla2[[#This Row],[Valor]]/Tabla2[[#This Row],[Valor Punto]]</f>
        <v>71428.571428571435</v>
      </c>
    </row>
    <row r="4" spans="1:6" x14ac:dyDescent="0.3">
      <c r="A4" t="s">
        <v>427</v>
      </c>
      <c r="B4" s="4">
        <v>1650000</v>
      </c>
      <c r="C4">
        <v>1</v>
      </c>
      <c r="D4" s="4">
        <f t="shared" si="0"/>
        <v>1650000</v>
      </c>
      <c r="E4" s="28">
        <v>25</v>
      </c>
      <c r="F4" s="83">
        <f>Tabla2[[#This Row],[Valor]]/Tabla2[[#This Row],[Valor Punto]]</f>
        <v>66000</v>
      </c>
    </row>
    <row r="5" spans="1:6" x14ac:dyDescent="0.3">
      <c r="A5" t="s">
        <v>428</v>
      </c>
      <c r="B5" s="4">
        <v>450000</v>
      </c>
      <c r="C5">
        <v>1</v>
      </c>
      <c r="D5" s="4">
        <f t="shared" si="0"/>
        <v>450000</v>
      </c>
      <c r="E5" s="28">
        <v>9</v>
      </c>
      <c r="F5" s="83">
        <f>Tabla2[[#This Row],[Valor]]/Tabla2[[#This Row],[Valor Punto]]</f>
        <v>50000</v>
      </c>
    </row>
    <row r="6" spans="1:6" x14ac:dyDescent="0.3">
      <c r="A6" t="s">
        <v>429</v>
      </c>
      <c r="B6" s="4">
        <v>300000</v>
      </c>
      <c r="C6">
        <v>2</v>
      </c>
      <c r="D6" s="4">
        <f t="shared" si="0"/>
        <v>600000</v>
      </c>
      <c r="E6" s="28">
        <v>6</v>
      </c>
      <c r="F6" s="83">
        <f>Tabla2[[#This Row],[Valor]]/Tabla2[[#This Row],[Valor Punto]]</f>
        <v>50000</v>
      </c>
    </row>
    <row r="7" spans="1:6" x14ac:dyDescent="0.3">
      <c r="A7" t="s">
        <v>430</v>
      </c>
      <c r="B7" s="4">
        <v>300000</v>
      </c>
      <c r="C7">
        <v>1</v>
      </c>
      <c r="D7" s="4">
        <f t="shared" si="0"/>
        <v>300000</v>
      </c>
      <c r="E7" s="28">
        <v>6</v>
      </c>
      <c r="F7" s="83">
        <f>Tabla2[[#This Row],[Valor]]/Tabla2[[#This Row],[Valor Punto]]</f>
        <v>50000</v>
      </c>
    </row>
    <row r="8" spans="1:6" x14ac:dyDescent="0.3">
      <c r="A8" t="s">
        <v>431</v>
      </c>
      <c r="B8" s="4">
        <v>250000</v>
      </c>
      <c r="C8">
        <v>1</v>
      </c>
      <c r="D8" s="4">
        <f t="shared" si="0"/>
        <v>250000</v>
      </c>
      <c r="E8" s="28">
        <v>6</v>
      </c>
      <c r="F8" s="83">
        <f>Tabla2[[#This Row],[Valor]]/Tabla2[[#This Row],[Valor Punto]]</f>
        <v>41666.666666666664</v>
      </c>
    </row>
    <row r="9" spans="1:6" x14ac:dyDescent="0.3">
      <c r="A9" t="s">
        <v>432</v>
      </c>
      <c r="B9" s="4">
        <v>250000</v>
      </c>
      <c r="C9">
        <v>1</v>
      </c>
      <c r="D9" s="4">
        <f t="shared" si="0"/>
        <v>250000</v>
      </c>
      <c r="E9" s="28">
        <v>6</v>
      </c>
      <c r="F9" s="83">
        <f>Tabla2[[#This Row],[Valor]]/Tabla2[[#This Row],[Valor Punto]]</f>
        <v>41666.666666666664</v>
      </c>
    </row>
    <row r="10" spans="1:6" x14ac:dyDescent="0.3">
      <c r="A10" t="s">
        <v>433</v>
      </c>
      <c r="B10" s="4">
        <v>160000</v>
      </c>
      <c r="C10">
        <v>1</v>
      </c>
      <c r="D10" s="4">
        <f t="shared" si="0"/>
        <v>160000</v>
      </c>
      <c r="E10" s="28">
        <v>5</v>
      </c>
      <c r="F10" s="83">
        <f>Tabla2[[#This Row],[Valor]]/Tabla2[[#This Row],[Valor Punto]]</f>
        <v>32000</v>
      </c>
    </row>
    <row r="11" spans="1:6" x14ac:dyDescent="0.3">
      <c r="A11" t="s">
        <v>434</v>
      </c>
      <c r="B11" s="4">
        <v>150000</v>
      </c>
      <c r="C11">
        <v>1</v>
      </c>
      <c r="D11" s="4">
        <f t="shared" si="0"/>
        <v>150000</v>
      </c>
      <c r="E11" s="28">
        <v>5</v>
      </c>
      <c r="F11" s="83">
        <f>Tabla2[[#This Row],[Valor]]/Tabla2[[#This Row],[Valor Punto]]</f>
        <v>30000</v>
      </c>
    </row>
    <row r="12" spans="1:6" x14ac:dyDescent="0.3">
      <c r="A12" t="s">
        <v>435</v>
      </c>
      <c r="B12" s="4">
        <v>150000</v>
      </c>
      <c r="C12">
        <v>1</v>
      </c>
      <c r="D12" s="4">
        <f t="shared" si="0"/>
        <v>150000</v>
      </c>
      <c r="E12" s="28">
        <v>5</v>
      </c>
      <c r="F12" s="83">
        <f>Tabla2[[#This Row],[Valor]]/Tabla2[[#This Row],[Valor Punto]]</f>
        <v>30000</v>
      </c>
    </row>
    <row r="13" spans="1:6" x14ac:dyDescent="0.3">
      <c r="A13" t="s">
        <v>436</v>
      </c>
      <c r="B13" s="4">
        <v>150000</v>
      </c>
      <c r="C13">
        <v>1</v>
      </c>
      <c r="D13" s="4">
        <f t="shared" si="0"/>
        <v>150000</v>
      </c>
      <c r="E13" s="28">
        <v>5</v>
      </c>
      <c r="F13" s="83">
        <f>Tabla2[[#This Row],[Valor]]/Tabla2[[#This Row],[Valor Punto]]</f>
        <v>30000</v>
      </c>
    </row>
    <row r="14" spans="1:6" x14ac:dyDescent="0.3">
      <c r="A14" t="s">
        <v>437</v>
      </c>
      <c r="B14" s="4">
        <v>150000</v>
      </c>
      <c r="C14">
        <v>1</v>
      </c>
      <c r="D14" s="4">
        <f t="shared" si="0"/>
        <v>150000</v>
      </c>
      <c r="E14" s="28">
        <v>5</v>
      </c>
      <c r="F14" s="83">
        <f>Tabla2[[#This Row],[Valor]]/Tabla2[[#This Row],[Valor Punto]]</f>
        <v>30000</v>
      </c>
    </row>
    <row r="15" spans="1:6" x14ac:dyDescent="0.3">
      <c r="A15" t="s">
        <v>409</v>
      </c>
      <c r="B15" s="4">
        <v>100000</v>
      </c>
      <c r="C15">
        <v>1</v>
      </c>
      <c r="D15" s="4">
        <f t="shared" si="0"/>
        <v>100000</v>
      </c>
      <c r="E15" s="28">
        <v>5</v>
      </c>
      <c r="F15" s="83">
        <f>Tabla2[[#This Row],[Valor]]/Tabla2[[#This Row],[Valor Punto]]</f>
        <v>20000</v>
      </c>
    </row>
    <row r="16" spans="1:6" x14ac:dyDescent="0.3">
      <c r="A16" t="s">
        <v>438</v>
      </c>
      <c r="B16" s="4">
        <v>100000</v>
      </c>
      <c r="C16">
        <v>2</v>
      </c>
      <c r="D16" s="4">
        <f t="shared" si="0"/>
        <v>200000</v>
      </c>
      <c r="E16" s="28">
        <v>5</v>
      </c>
      <c r="F16" s="83">
        <f>Tabla2[[#This Row],[Valor]]/Tabla2[[#This Row],[Valor Punto]]</f>
        <v>20000</v>
      </c>
    </row>
    <row r="17" spans="1:6" x14ac:dyDescent="0.3">
      <c r="A17" t="s">
        <v>439</v>
      </c>
      <c r="B17" s="4">
        <v>100000</v>
      </c>
      <c r="C17">
        <v>1</v>
      </c>
      <c r="D17" s="4">
        <f t="shared" si="0"/>
        <v>100000</v>
      </c>
      <c r="E17" s="28">
        <v>5</v>
      </c>
      <c r="F17" s="83">
        <f>Tabla2[[#This Row],[Valor]]/Tabla2[[#This Row],[Valor Punto]]</f>
        <v>20000</v>
      </c>
    </row>
    <row r="18" spans="1:6" x14ac:dyDescent="0.3">
      <c r="A18" t="s">
        <v>440</v>
      </c>
      <c r="B18" s="4">
        <v>70000</v>
      </c>
      <c r="C18">
        <v>2</v>
      </c>
      <c r="D18" s="4">
        <f t="shared" si="0"/>
        <v>140000</v>
      </c>
      <c r="E18" s="28">
        <v>4</v>
      </c>
      <c r="F18" s="83">
        <f>Tabla2[[#This Row],[Valor]]/Tabla2[[#This Row],[Valor Punto]]</f>
        <v>17500</v>
      </c>
    </row>
    <row r="19" spans="1:6" x14ac:dyDescent="0.3">
      <c r="A19" t="s">
        <v>411</v>
      </c>
      <c r="B19" s="4">
        <v>70000</v>
      </c>
      <c r="C19">
        <v>1</v>
      </c>
      <c r="D19" s="4">
        <f t="shared" si="0"/>
        <v>70000</v>
      </c>
      <c r="E19" s="28">
        <v>4</v>
      </c>
      <c r="F19" s="83">
        <f>Tabla2[[#This Row],[Valor]]/Tabla2[[#This Row],[Valor Punto]]</f>
        <v>17500</v>
      </c>
    </row>
    <row r="20" spans="1:6" x14ac:dyDescent="0.3">
      <c r="A20" t="s">
        <v>441</v>
      </c>
      <c r="B20" s="4">
        <v>60000</v>
      </c>
      <c r="C20">
        <v>2</v>
      </c>
      <c r="D20" s="4">
        <f t="shared" si="0"/>
        <v>120000</v>
      </c>
      <c r="E20" s="28">
        <v>4</v>
      </c>
      <c r="F20" s="83">
        <f>Tabla2[[#This Row],[Valor]]/Tabla2[[#This Row],[Valor Punto]]</f>
        <v>15000</v>
      </c>
    </row>
    <row r="21" spans="1:6" x14ac:dyDescent="0.3">
      <c r="A21" t="s">
        <v>442</v>
      </c>
      <c r="B21" s="4">
        <v>60000</v>
      </c>
      <c r="C21">
        <v>2</v>
      </c>
      <c r="D21" s="4">
        <f t="shared" si="0"/>
        <v>120000</v>
      </c>
      <c r="E21" s="28">
        <v>4</v>
      </c>
      <c r="F21" s="83">
        <f>Tabla2[[#This Row],[Valor]]/Tabla2[[#This Row],[Valor Punto]]</f>
        <v>15000</v>
      </c>
    </row>
    <row r="22" spans="1:6" x14ac:dyDescent="0.3">
      <c r="A22" t="s">
        <v>443</v>
      </c>
      <c r="B22" s="4">
        <v>60000</v>
      </c>
      <c r="C22">
        <v>1</v>
      </c>
      <c r="D22" s="4">
        <f t="shared" si="0"/>
        <v>60000</v>
      </c>
      <c r="E22" s="28">
        <v>4</v>
      </c>
      <c r="F22" s="83">
        <f>Tabla2[[#This Row],[Valor]]/Tabla2[[#This Row],[Valor Punto]]</f>
        <v>15000</v>
      </c>
    </row>
    <row r="23" spans="1:6" x14ac:dyDescent="0.3">
      <c r="A23" t="s">
        <v>444</v>
      </c>
      <c r="B23" s="4">
        <v>50000</v>
      </c>
      <c r="C23">
        <v>1</v>
      </c>
      <c r="D23" s="4">
        <f t="shared" si="0"/>
        <v>50000</v>
      </c>
      <c r="E23" s="28">
        <v>4</v>
      </c>
      <c r="F23" s="83">
        <f>Tabla2[[#This Row],[Valor]]/Tabla2[[#This Row],[Valor Punto]]</f>
        <v>12500</v>
      </c>
    </row>
    <row r="24" spans="1:6" x14ac:dyDescent="0.3">
      <c r="A24" t="s">
        <v>445</v>
      </c>
      <c r="B24" s="4">
        <v>50000</v>
      </c>
      <c r="C24">
        <v>2</v>
      </c>
      <c r="D24" s="4">
        <f t="shared" si="0"/>
        <v>100000</v>
      </c>
      <c r="E24" s="28">
        <v>4</v>
      </c>
      <c r="F24" s="83">
        <f>Tabla2[[#This Row],[Valor]]/Tabla2[[#This Row],[Valor Punto]]</f>
        <v>12500</v>
      </c>
    </row>
    <row r="25" spans="1:6" x14ac:dyDescent="0.3">
      <c r="A25" t="s">
        <v>411</v>
      </c>
      <c r="B25" s="4">
        <v>50000</v>
      </c>
      <c r="C25">
        <v>2</v>
      </c>
      <c r="D25" s="4">
        <f t="shared" si="0"/>
        <v>100000</v>
      </c>
      <c r="E25" s="28">
        <v>4</v>
      </c>
      <c r="F25" s="83">
        <f>Tabla2[[#This Row],[Valor]]/Tabla2[[#This Row],[Valor Punto]]</f>
        <v>12500</v>
      </c>
    </row>
    <row r="26" spans="1:6" x14ac:dyDescent="0.3">
      <c r="A26" t="s">
        <v>446</v>
      </c>
      <c r="B26" s="4">
        <v>40000</v>
      </c>
      <c r="C26">
        <v>2</v>
      </c>
      <c r="D26" s="4">
        <f t="shared" si="0"/>
        <v>80000</v>
      </c>
      <c r="E26" s="28">
        <v>4</v>
      </c>
      <c r="F26" s="83">
        <f>Tabla2[[#This Row],[Valor]]/Tabla2[[#This Row],[Valor Punto]]</f>
        <v>10000</v>
      </c>
    </row>
    <row r="27" spans="1:6" x14ac:dyDescent="0.3">
      <c r="A27" t="s">
        <v>407</v>
      </c>
      <c r="F27" s="83"/>
    </row>
    <row r="28" spans="1:6" x14ac:dyDescent="0.3">
      <c r="A28" t="s">
        <v>414</v>
      </c>
      <c r="B28" s="26">
        <f>SUBTOTAL(109,Tabla2[Valor])</f>
        <v>11770000</v>
      </c>
      <c r="D28" s="27">
        <f>SUBTOTAL(109,Tabla2[Total])</f>
        <v>12500000</v>
      </c>
      <c r="E28" s="26"/>
      <c r="F28" s="2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CC5A-D95E-4588-B619-85CF152D7A00}">
  <dimension ref="A1:I12"/>
  <sheetViews>
    <sheetView showGridLines="0" workbookViewId="0">
      <selection activeCell="H17" sqref="H17"/>
    </sheetView>
  </sheetViews>
  <sheetFormatPr baseColWidth="10" defaultColWidth="11.44140625" defaultRowHeight="14.4" x14ac:dyDescent="0.3"/>
  <cols>
    <col min="1" max="1" width="16.33203125" customWidth="1"/>
    <col min="2" max="2" width="27" bestFit="1" customWidth="1"/>
    <col min="3" max="3" width="23.33203125" bestFit="1" customWidth="1"/>
    <col min="4" max="4" width="12.88671875" bestFit="1" customWidth="1"/>
    <col min="5" max="5" width="11.5546875" bestFit="1" customWidth="1"/>
    <col min="6" max="6" width="18.5546875" bestFit="1" customWidth="1"/>
    <col min="7" max="8" width="16.33203125" bestFit="1" customWidth="1"/>
    <col min="9" max="9" width="24.5546875" customWidth="1"/>
  </cols>
  <sheetData>
    <row r="1" spans="1:9" ht="28.2" thickBot="1" x14ac:dyDescent="0.35">
      <c r="A1" s="75" t="s">
        <v>28</v>
      </c>
      <c r="B1" s="76" t="s">
        <v>29</v>
      </c>
      <c r="C1" s="76" t="s">
        <v>400</v>
      </c>
      <c r="D1" s="77" t="s">
        <v>401</v>
      </c>
      <c r="E1" s="77" t="s">
        <v>402</v>
      </c>
      <c r="F1" s="77" t="s">
        <v>403</v>
      </c>
      <c r="G1" s="76" t="s">
        <v>404</v>
      </c>
      <c r="H1" s="78" t="s">
        <v>405</v>
      </c>
      <c r="I1" s="78" t="s">
        <v>406</v>
      </c>
    </row>
    <row r="2" spans="1:9" x14ac:dyDescent="0.3">
      <c r="A2" s="79">
        <v>1059704792</v>
      </c>
      <c r="B2" s="80" t="str">
        <f>VLOOKUP(Tabla3[[#This Row],[DOCUMENTO]],Tabla5[[#All],[DOCUMENTO]:[NOMBRE]],2,0)</f>
        <v>Jorge Eliecer Calderón Reyes</v>
      </c>
      <c r="C2" t="s">
        <v>407</v>
      </c>
      <c r="D2" s="84">
        <v>60000</v>
      </c>
      <c r="E2" s="72">
        <v>45565</v>
      </c>
      <c r="F2">
        <f ca="1">SUMIF(Tabla5[[DOCUMENTO]:[PUNTOS TOTALES]],Tabla3[[#This Row],[DOCUMENTO]],Tabla5[PUNTOS TOTALES])</f>
        <v>16280</v>
      </c>
      <c r="G2">
        <v>15000</v>
      </c>
      <c r="H2">
        <f ca="1">Tabla3[[#This Row],[PUNTOS ACUMULADOS]]-Tabla3[[#This Row],[PUNTOS REDIMIDOS]]</f>
        <v>1280</v>
      </c>
      <c r="I2" t="s">
        <v>408</v>
      </c>
    </row>
    <row r="3" spans="1:9" x14ac:dyDescent="0.3">
      <c r="A3" s="81">
        <v>1065659658</v>
      </c>
      <c r="B3" s="82" t="str">
        <f>VLOOKUP(Tabla3[[#This Row],[DOCUMENTO]],Tabla5[[#All],[DOCUMENTO]:[NOMBRE]],2,0)</f>
        <v>Roberto Carlos Rodríguez</v>
      </c>
      <c r="C3" t="s">
        <v>407</v>
      </c>
      <c r="D3" s="84">
        <v>50000</v>
      </c>
      <c r="E3" s="72">
        <v>45597</v>
      </c>
      <c r="F3">
        <f ca="1">SUMIF(Tabla5[[DOCUMENTO]:[PUNTOS TOTALES]],Tabla3[[#This Row],[DOCUMENTO]],Tabla5[PUNTOS TOTALES])</f>
        <v>14124</v>
      </c>
      <c r="G3">
        <v>13000</v>
      </c>
      <c r="H3">
        <f ca="1">Tabla3[[#This Row],[PUNTOS ACUMULADOS]]-Tabla3[[#This Row],[PUNTOS REDIMIDOS]]</f>
        <v>1124</v>
      </c>
      <c r="I3" t="s">
        <v>408</v>
      </c>
    </row>
    <row r="4" spans="1:9" x14ac:dyDescent="0.3">
      <c r="A4" s="81">
        <v>1037572152</v>
      </c>
      <c r="B4" s="82" t="str">
        <f>VLOOKUP(Tabla3[[#This Row],[DOCUMENTO]],Tabla5[[#All],[DOCUMENTO]:[NOMBRE]],2,0)</f>
        <v>Jorge Andrés Carvajal</v>
      </c>
      <c r="C4" s="106" t="s">
        <v>409</v>
      </c>
      <c r="D4" s="84">
        <v>100000</v>
      </c>
      <c r="E4" s="72">
        <v>45784</v>
      </c>
      <c r="F4">
        <f ca="1">SUMIF(Tabla5[[DOCUMENTO]:[PUNTOS TOTALES]],Tabla3[[#This Row],[DOCUMENTO]],Tabla5[PUNTOS TOTALES])</f>
        <v>21208</v>
      </c>
      <c r="G4">
        <v>20000</v>
      </c>
      <c r="H4">
        <f ca="1">Tabla3[[#This Row],[PUNTOS ACUMULADOS]]-Tabla3[[#This Row],[PUNTOS REDIMIDOS]]</f>
        <v>1208</v>
      </c>
      <c r="I4" t="s">
        <v>410</v>
      </c>
    </row>
    <row r="5" spans="1:9" x14ac:dyDescent="0.3">
      <c r="A5" s="81">
        <v>1035919597</v>
      </c>
      <c r="B5" s="82" t="str">
        <f>VLOOKUP(Tabla3[[#This Row],[DOCUMENTO]],Tabla5[[#All],[DOCUMENTO]:[NOMBRE]],2,0)</f>
        <v>Sebastián Ossa Londoño</v>
      </c>
      <c r="C5" s="106" t="s">
        <v>409</v>
      </c>
      <c r="D5" s="84">
        <v>100000</v>
      </c>
      <c r="E5" s="72">
        <v>45784</v>
      </c>
      <c r="F5">
        <f ca="1">SUMIF(Tabla5[[DOCUMENTO]:[PUNTOS TOTALES]],Tabla3[[#This Row],[DOCUMENTO]],Tabla5[PUNTOS TOTALES])</f>
        <v>23518</v>
      </c>
      <c r="G5">
        <v>20000</v>
      </c>
      <c r="H5">
        <f ca="1">Tabla3[[#This Row],[PUNTOS ACUMULADOS]]-Tabla3[[#This Row],[PUNTOS REDIMIDOS]]</f>
        <v>3518</v>
      </c>
      <c r="I5" t="s">
        <v>410</v>
      </c>
    </row>
    <row r="6" spans="1:9" x14ac:dyDescent="0.3">
      <c r="A6" s="81">
        <v>1000751888</v>
      </c>
      <c r="B6" s="82" t="str">
        <f>VLOOKUP(Tabla3[[#This Row],[DOCUMENTO]],Tabla5[[#All],[DOCUMENTO]:[NOMBRE]],2,0)</f>
        <v>Juan Camilo Agudelo Muñoz</v>
      </c>
      <c r="C6" s="106" t="s">
        <v>411</v>
      </c>
      <c r="D6" s="84">
        <v>50000</v>
      </c>
      <c r="E6" s="72">
        <v>45814</v>
      </c>
      <c r="F6">
        <f ca="1">SUMIF(Tabla5[[DOCUMENTO]:[PUNTOS TOTALES]],Tabla3[[#This Row],[DOCUMENTO]],Tabla5[PUNTOS TOTALES])</f>
        <v>14190</v>
      </c>
      <c r="G6">
        <v>13000</v>
      </c>
      <c r="H6">
        <f ca="1">Tabla3[[#This Row],[PUNTOS ACUMULADOS]]-Tabla3[[#This Row],[PUNTOS REDIMIDOS]]</f>
        <v>1190</v>
      </c>
      <c r="I6" t="s">
        <v>412</v>
      </c>
    </row>
    <row r="7" spans="1:9" x14ac:dyDescent="0.3">
      <c r="A7" s="81">
        <v>1005346180</v>
      </c>
      <c r="B7" s="82" t="str">
        <f>VLOOKUP(Tabla3[[#This Row],[DOCUMENTO]],Tabla5[[#All],[DOCUMENTO]:[NOMBRE]],2,0)</f>
        <v>Diego Uribe Castellanos</v>
      </c>
      <c r="C7" s="106" t="s">
        <v>411</v>
      </c>
      <c r="D7" s="84">
        <v>50000</v>
      </c>
      <c r="E7" s="72">
        <v>45814</v>
      </c>
      <c r="F7">
        <f ca="1">SUMIF(Tabla5[[DOCUMENTO]:[PUNTOS TOTALES]],Tabla3[[#This Row],[DOCUMENTO]],Tabla5[PUNTOS TOTALES])</f>
        <v>13222</v>
      </c>
      <c r="G7">
        <v>13000</v>
      </c>
      <c r="H7">
        <f ca="1">Tabla3[[#This Row],[PUNTOS ACUMULADOS]]-Tabla3[[#This Row],[PUNTOS REDIMIDOS]]</f>
        <v>222</v>
      </c>
      <c r="I7" t="s">
        <v>412</v>
      </c>
    </row>
    <row r="8" spans="1:9" x14ac:dyDescent="0.3">
      <c r="A8" s="81">
        <v>71690439</v>
      </c>
      <c r="B8" s="82" t="str">
        <f>VLOOKUP(Tabla3[[#This Row],[DOCUMENTO]],Tabla5[[#All],[DOCUMENTO]:[NOMBRE]],2,0)</f>
        <v>Jhon Jairo Villamizar Gutierrez</v>
      </c>
      <c r="C8" s="106" t="s">
        <v>411</v>
      </c>
      <c r="D8" s="84">
        <v>40000</v>
      </c>
      <c r="E8" s="72">
        <v>45814</v>
      </c>
      <c r="F8">
        <f ca="1">SUMIF(Tabla5[[DOCUMENTO]:[PUNTOS TOTALES]],Tabla3[[#This Row],[DOCUMENTO]],Tabla5[PUNTOS TOTALES])</f>
        <v>10703</v>
      </c>
      <c r="G8">
        <v>10000</v>
      </c>
      <c r="H8">
        <f ca="1">Tabla3[[#This Row],[PUNTOS ACUMULADOS]]-Tabla3[[#This Row],[PUNTOS REDIMIDOS]]</f>
        <v>703</v>
      </c>
      <c r="I8" t="s">
        <v>412</v>
      </c>
    </row>
    <row r="9" spans="1:9" x14ac:dyDescent="0.3">
      <c r="A9" s="47">
        <v>41942365</v>
      </c>
      <c r="B9" s="82" t="str">
        <f>VLOOKUP(Tabla3[[#This Row],[DOCUMENTO]],Tabla5[[#All],[DOCUMENTO]:[NOMBRE]],2,0)</f>
        <v>Paola Johana Restrepo Rios</v>
      </c>
      <c r="C9" s="106" t="s">
        <v>411</v>
      </c>
      <c r="D9" s="84">
        <v>160000</v>
      </c>
      <c r="E9" s="72">
        <v>45821</v>
      </c>
      <c r="F9">
        <f ca="1">SUMIF(Tabla5[[DOCUMENTO]:[PUNTOS TOTALES]],Tabla3[[#This Row],[DOCUMENTO]],Tabla5[PUNTOS TOTALES])</f>
        <v>34870</v>
      </c>
      <c r="G9">
        <v>32000</v>
      </c>
      <c r="H9">
        <f ca="1">Tabla3[[#This Row],[PUNTOS ACUMULADOS]]-Tabla3[[#This Row],[PUNTOS REDIMIDOS]]</f>
        <v>2870</v>
      </c>
      <c r="I9" t="s">
        <v>412</v>
      </c>
    </row>
    <row r="10" spans="1:9" x14ac:dyDescent="0.3">
      <c r="A10" s="81">
        <v>1128479264</v>
      </c>
      <c r="B10" s="82" t="str">
        <f>VLOOKUP(Tabla3[[#This Row],[DOCUMENTO]],Tabla5[[#All],[DOCUMENTO]:[NOMBRE]],2,0)</f>
        <v>Luis Carlos Ramos Rangel</v>
      </c>
      <c r="C10" s="106" t="s">
        <v>411</v>
      </c>
      <c r="D10" s="84">
        <v>160000</v>
      </c>
      <c r="E10" s="72">
        <v>45819</v>
      </c>
      <c r="F10">
        <f ca="1">SUMIF(Tabla5[[DOCUMENTO]:[PUNTOS TOTALES]],Tabla3[[#This Row],[DOCUMENTO]],Tabla5[PUNTOS TOTALES])</f>
        <v>36498</v>
      </c>
      <c r="G10">
        <v>32000</v>
      </c>
      <c r="H10">
        <f ca="1">Tabla3[[#This Row],[PUNTOS ACUMULADOS]]-Tabla3[[#This Row],[PUNTOS REDIMIDOS]]</f>
        <v>4498</v>
      </c>
      <c r="I10" t="s">
        <v>413</v>
      </c>
    </row>
    <row r="11" spans="1:9" x14ac:dyDescent="0.3">
      <c r="A11" s="81">
        <v>75080238</v>
      </c>
      <c r="B11" s="82" t="str">
        <f>VLOOKUP(Tabla3[[#This Row],[DOCUMENTO]],Tabla5[[#All],[DOCUMENTO]:[NOMBRE]],2,0)</f>
        <v>Carlos Alberto Cardona Mira</v>
      </c>
      <c r="C11" s="106" t="s">
        <v>411</v>
      </c>
      <c r="D11" s="84">
        <v>40000</v>
      </c>
      <c r="E11" s="72">
        <v>45932</v>
      </c>
      <c r="F11">
        <f ca="1">SUMIF(Tabla5[[DOCUMENTO]:[PUNTOS TOTALES]],Tabla3[[#This Row],[DOCUMENTO]],Tabla5[PUNTOS TOTALES])</f>
        <v>11704</v>
      </c>
      <c r="G11">
        <v>10000</v>
      </c>
      <c r="H11">
        <f ca="1">Tabla3[[#This Row],[PUNTOS ACUMULADOS]]-Tabla3[[#This Row],[PUNTOS REDIMIDOS]]</f>
        <v>1704</v>
      </c>
      <c r="I11" t="s">
        <v>413</v>
      </c>
    </row>
    <row r="12" spans="1:9" x14ac:dyDescent="0.3">
      <c r="A12" s="112" t="s">
        <v>414</v>
      </c>
      <c r="B12" s="113"/>
      <c r="C12" s="106"/>
      <c r="D12" s="114">
        <f>SUBTOTAL(109,D2:D11)</f>
        <v>810000</v>
      </c>
      <c r="I12">
        <f>SUBTOTAL(103,Tabla3[ENTREGA])</f>
        <v>10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DE2EAE3-0EC8-4CC1-97C4-C451A0138C7B}">
          <x14:formula1>
            <xm:f>'Tabla Premios'!$A$2:$A$27</xm:f>
          </x14:formula1>
          <xm:sqref>C2:C11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10B6-AC8E-435B-AB9D-4802E771B88A}">
  <dimension ref="A1:I175"/>
  <sheetViews>
    <sheetView showGridLines="0" tabSelected="1" topLeftCell="B1" zoomScaleNormal="100" workbookViewId="0">
      <pane xSplit="4" ySplit="4" topLeftCell="F5" activePane="bottomRight" state="frozen"/>
      <selection pane="topRight" activeCell="F1" sqref="F1"/>
      <selection pane="bottomLeft" activeCell="B5" sqref="B5"/>
      <selection pane="bottomRight" activeCell="I5" sqref="I5"/>
    </sheetView>
  </sheetViews>
  <sheetFormatPr baseColWidth="10" defaultColWidth="11.44140625" defaultRowHeight="14.4" x14ac:dyDescent="0.3"/>
  <cols>
    <col min="1" max="1" width="12.109375" bestFit="1" customWidth="1"/>
    <col min="2" max="2" width="18" bestFit="1" customWidth="1"/>
    <col min="3" max="3" width="31.109375" bestFit="1" customWidth="1"/>
    <col min="4" max="4" width="11.33203125" style="74" customWidth="1"/>
    <col min="5" max="5" width="13.88671875" style="52" customWidth="1"/>
    <col min="6" max="6" width="12.33203125" customWidth="1"/>
    <col min="7" max="7" width="15.33203125" customWidth="1"/>
    <col min="8" max="8" width="15.6640625" customWidth="1"/>
    <col min="9" max="9" width="12.44140625" customWidth="1"/>
  </cols>
  <sheetData>
    <row r="1" spans="1:9" ht="44.4" customHeight="1" x14ac:dyDescent="0.3">
      <c r="A1" s="66"/>
      <c r="B1" s="118"/>
      <c r="C1" s="119"/>
      <c r="D1" s="122" t="s">
        <v>447</v>
      </c>
      <c r="E1" s="122"/>
      <c r="F1" s="122"/>
      <c r="G1" s="122"/>
      <c r="H1" s="122"/>
      <c r="I1" s="122"/>
    </row>
    <row r="2" spans="1:9" ht="12.6" customHeight="1" x14ac:dyDescent="0.3">
      <c r="A2" s="41"/>
      <c r="B2" s="41"/>
      <c r="C2" s="41"/>
      <c r="D2" s="49"/>
      <c r="E2" s="44"/>
      <c r="F2" s="41"/>
      <c r="G2" s="45"/>
      <c r="H2" s="45"/>
      <c r="I2" s="41"/>
    </row>
    <row r="3" spans="1:9" ht="17.399999999999999" x14ac:dyDescent="0.3">
      <c r="A3" s="66"/>
      <c r="B3" s="123" t="s">
        <v>448</v>
      </c>
      <c r="C3" s="117"/>
      <c r="D3" s="117"/>
      <c r="E3" s="117"/>
      <c r="F3" s="117"/>
      <c r="G3" s="117"/>
      <c r="H3" s="117"/>
      <c r="I3" s="117"/>
    </row>
    <row r="4" spans="1:9" ht="41.4" x14ac:dyDescent="0.3">
      <c r="A4" s="67" t="s">
        <v>449</v>
      </c>
      <c r="B4" s="43" t="s">
        <v>28</v>
      </c>
      <c r="C4" s="43" t="s">
        <v>29</v>
      </c>
      <c r="D4" s="43" t="s">
        <v>30</v>
      </c>
      <c r="E4" s="43" t="s">
        <v>450</v>
      </c>
      <c r="F4" s="43" t="s">
        <v>451</v>
      </c>
      <c r="G4" s="43" t="s">
        <v>452</v>
      </c>
      <c r="H4" s="43" t="s">
        <v>453</v>
      </c>
      <c r="I4" s="43" t="s">
        <v>454</v>
      </c>
    </row>
    <row r="5" spans="1:9" x14ac:dyDescent="0.3">
      <c r="A5" s="60">
        <v>45474</v>
      </c>
      <c r="B5" s="55">
        <v>1001812262</v>
      </c>
      <c r="C5" s="56" t="s">
        <v>53</v>
      </c>
      <c r="D5" s="69">
        <v>4866</v>
      </c>
      <c r="E5" s="73">
        <v>3218098350</v>
      </c>
      <c r="F5" s="71">
        <v>45476</v>
      </c>
      <c r="G5" s="71">
        <v>45489</v>
      </c>
      <c r="H5" s="71">
        <v>45504</v>
      </c>
      <c r="I5" s="57" t="str">
        <f>IFERROR(#REF!+#REF!,"")</f>
        <v/>
      </c>
    </row>
    <row r="6" spans="1:9" x14ac:dyDescent="0.3">
      <c r="A6" s="60">
        <v>45511</v>
      </c>
      <c r="B6" s="58">
        <v>71175113</v>
      </c>
      <c r="C6" s="59" t="s">
        <v>99</v>
      </c>
      <c r="D6" s="70">
        <v>4951</v>
      </c>
      <c r="E6" s="44">
        <v>3108223356</v>
      </c>
      <c r="F6" s="60">
        <v>45481</v>
      </c>
      <c r="G6" s="71">
        <v>45489</v>
      </c>
      <c r="H6" s="86">
        <v>45498</v>
      </c>
      <c r="I6" s="57" t="str">
        <f>IFERROR(#REF!+#REF!,"")</f>
        <v/>
      </c>
    </row>
    <row r="7" spans="1:9" x14ac:dyDescent="0.3">
      <c r="A7" s="60">
        <v>45523</v>
      </c>
      <c r="B7" s="61">
        <v>1035919597</v>
      </c>
      <c r="C7" s="62" t="s">
        <v>148</v>
      </c>
      <c r="D7" s="69">
        <v>5368</v>
      </c>
      <c r="E7" s="44">
        <v>3148754310</v>
      </c>
      <c r="F7" s="60">
        <v>45496</v>
      </c>
      <c r="G7" s="71">
        <v>45498</v>
      </c>
      <c r="H7" s="71">
        <v>45498</v>
      </c>
      <c r="I7" s="57" t="str">
        <f>IFERROR(#REF!+#REF!,"")</f>
        <v/>
      </c>
    </row>
    <row r="8" spans="1:9" x14ac:dyDescent="0.3">
      <c r="A8" s="60">
        <v>45579</v>
      </c>
      <c r="B8" s="58">
        <v>1000751888</v>
      </c>
      <c r="C8" s="59" t="s">
        <v>127</v>
      </c>
      <c r="D8" s="70">
        <v>5427</v>
      </c>
      <c r="E8" s="44">
        <v>3117569630</v>
      </c>
      <c r="F8" s="60">
        <v>45498</v>
      </c>
      <c r="G8" s="71">
        <v>45498</v>
      </c>
      <c r="H8" s="71">
        <v>45505</v>
      </c>
      <c r="I8" s="57" t="str">
        <f>IFERROR(#REF!+#REF!,"")</f>
        <v/>
      </c>
    </row>
    <row r="9" spans="1:9" x14ac:dyDescent="0.3">
      <c r="A9" s="60">
        <v>45600</v>
      </c>
      <c r="B9" s="61">
        <v>1035913083</v>
      </c>
      <c r="C9" s="62" t="s">
        <v>106</v>
      </c>
      <c r="D9" s="69">
        <v>5469</v>
      </c>
      <c r="E9" s="44">
        <v>3217479290</v>
      </c>
      <c r="F9" s="60">
        <v>45498</v>
      </c>
      <c r="G9" s="71">
        <v>45499</v>
      </c>
      <c r="H9" s="71">
        <v>45614</v>
      </c>
      <c r="I9" s="57" t="str">
        <f>IFERROR(#REF!+#REF!,"")</f>
        <v/>
      </c>
    </row>
    <row r="10" spans="1:9" x14ac:dyDescent="0.3">
      <c r="A10" s="68">
        <v>45607</v>
      </c>
      <c r="B10" s="58">
        <v>1110570952</v>
      </c>
      <c r="C10" s="59" t="s">
        <v>70</v>
      </c>
      <c r="D10" s="70">
        <v>5470</v>
      </c>
      <c r="E10" s="44">
        <v>3103328757</v>
      </c>
      <c r="F10" s="60">
        <v>45498</v>
      </c>
      <c r="G10" s="71">
        <v>45499</v>
      </c>
      <c r="H10" s="71">
        <v>45505</v>
      </c>
      <c r="I10" s="57" t="str">
        <f>IFERROR(#REF!+#REF!,"")</f>
        <v/>
      </c>
    </row>
    <row r="11" spans="1:9" x14ac:dyDescent="0.3">
      <c r="A11" s="68">
        <v>45651</v>
      </c>
      <c r="B11" s="61">
        <v>1059704792</v>
      </c>
      <c r="C11" s="62" t="s">
        <v>118</v>
      </c>
      <c r="D11" s="69">
        <v>5917</v>
      </c>
      <c r="E11" s="44">
        <v>3146359632</v>
      </c>
      <c r="F11" s="60">
        <v>45517</v>
      </c>
      <c r="G11" s="71">
        <v>45518</v>
      </c>
      <c r="H11" s="71">
        <v>45519</v>
      </c>
      <c r="I11" s="57" t="str">
        <f>IFERROR(#REF!+#REF!,"")</f>
        <v/>
      </c>
    </row>
    <row r="12" spans="1:9" x14ac:dyDescent="0.3">
      <c r="A12" s="60"/>
      <c r="B12" s="58">
        <v>1059704792</v>
      </c>
      <c r="C12" s="59" t="s">
        <v>118</v>
      </c>
      <c r="D12" s="70">
        <v>5918</v>
      </c>
      <c r="E12" s="44">
        <v>3146359632</v>
      </c>
      <c r="F12" s="60">
        <v>45517</v>
      </c>
      <c r="G12" s="71">
        <v>45518</v>
      </c>
      <c r="H12" s="86">
        <v>45519</v>
      </c>
      <c r="I12" s="57" t="str">
        <f>IFERROR(#REF!+#REF!,"")</f>
        <v/>
      </c>
    </row>
    <row r="13" spans="1:9" x14ac:dyDescent="0.3">
      <c r="A13" s="60"/>
      <c r="B13" s="58">
        <v>17685011</v>
      </c>
      <c r="C13" s="59" t="s">
        <v>160</v>
      </c>
      <c r="D13" s="70">
        <v>6263</v>
      </c>
      <c r="E13" s="44">
        <v>3163616098</v>
      </c>
      <c r="F13" s="60">
        <v>45533</v>
      </c>
      <c r="G13" s="71">
        <v>45533</v>
      </c>
      <c r="H13" s="71">
        <v>45646</v>
      </c>
      <c r="I13" s="57" t="str">
        <f>IFERROR(#REF!+#REF!,"")</f>
        <v/>
      </c>
    </row>
    <row r="14" spans="1:9" x14ac:dyDescent="0.3">
      <c r="A14" s="60"/>
      <c r="B14" s="61">
        <v>1035918433</v>
      </c>
      <c r="C14" s="62" t="s">
        <v>155</v>
      </c>
      <c r="D14" s="69">
        <v>6254</v>
      </c>
      <c r="E14" s="44">
        <v>3244074165</v>
      </c>
      <c r="F14" s="60">
        <v>45532</v>
      </c>
      <c r="G14" s="71">
        <v>45533</v>
      </c>
      <c r="H14" s="71">
        <v>45646</v>
      </c>
      <c r="I14" s="57" t="str">
        <f>IFERROR(#REF!+#REF!,"")</f>
        <v/>
      </c>
    </row>
    <row r="15" spans="1:9" x14ac:dyDescent="0.3">
      <c r="A15" s="60"/>
      <c r="B15" s="58">
        <v>1000751888</v>
      </c>
      <c r="C15" s="59" t="s">
        <v>127</v>
      </c>
      <c r="D15" s="70">
        <v>5983</v>
      </c>
      <c r="E15" s="44">
        <v>3117569630</v>
      </c>
      <c r="F15" s="60">
        <v>45519</v>
      </c>
      <c r="G15" s="71">
        <v>45519</v>
      </c>
      <c r="H15" s="71">
        <v>45638</v>
      </c>
      <c r="I15" s="57" t="str">
        <f>IFERROR(#REF!+#REF!,"")</f>
        <v/>
      </c>
    </row>
    <row r="16" spans="1:9" x14ac:dyDescent="0.3">
      <c r="A16" s="60"/>
      <c r="B16" s="58">
        <v>1005346180</v>
      </c>
      <c r="C16" s="59" t="s">
        <v>135</v>
      </c>
      <c r="D16" s="70">
        <v>6026</v>
      </c>
      <c r="E16" s="44">
        <v>3045578181</v>
      </c>
      <c r="F16" s="60">
        <v>45520</v>
      </c>
      <c r="G16" s="71">
        <v>45524</v>
      </c>
      <c r="H16" s="71">
        <v>45525</v>
      </c>
      <c r="I16" s="57" t="str">
        <f>IFERROR(#REF!+#REF!,"")</f>
        <v/>
      </c>
    </row>
    <row r="17" spans="1:9" x14ac:dyDescent="0.3">
      <c r="A17" s="60"/>
      <c r="B17" s="55">
        <v>1045047014</v>
      </c>
      <c r="C17" s="63" t="s">
        <v>139</v>
      </c>
      <c r="D17" s="69">
        <v>6057</v>
      </c>
      <c r="E17" s="44">
        <v>3136876634</v>
      </c>
      <c r="F17" s="60">
        <v>45524</v>
      </c>
      <c r="G17" s="71">
        <v>45525</v>
      </c>
      <c r="H17" s="71">
        <v>45622</v>
      </c>
      <c r="I17" s="57" t="str">
        <f>IFERROR(#REF!+#REF!,"")</f>
        <v/>
      </c>
    </row>
    <row r="18" spans="1:9" x14ac:dyDescent="0.3">
      <c r="A18" s="60"/>
      <c r="B18" s="64">
        <v>73570530</v>
      </c>
      <c r="C18" s="65" t="s">
        <v>141</v>
      </c>
      <c r="D18" s="70">
        <v>6071</v>
      </c>
      <c r="E18" s="44">
        <v>3204228533</v>
      </c>
      <c r="F18" s="60">
        <v>45525</v>
      </c>
      <c r="G18" s="71">
        <v>45525</v>
      </c>
      <c r="H18" s="71">
        <v>45622</v>
      </c>
      <c r="I18" s="57" t="str">
        <f>IFERROR(#REF!+#REF!,"")</f>
        <v/>
      </c>
    </row>
    <row r="19" spans="1:9" x14ac:dyDescent="0.3">
      <c r="A19" s="60"/>
      <c r="B19" s="55">
        <v>1001416385</v>
      </c>
      <c r="C19" s="56" t="s">
        <v>143</v>
      </c>
      <c r="D19" s="69">
        <v>6223</v>
      </c>
      <c r="E19" s="44">
        <v>3008869275</v>
      </c>
      <c r="F19" s="60">
        <v>45531</v>
      </c>
      <c r="G19" s="71">
        <v>45532</v>
      </c>
      <c r="H19" s="71">
        <v>45622</v>
      </c>
      <c r="I19" s="57" t="str">
        <f>IFERROR(#REF!+#REF!,"")</f>
        <v/>
      </c>
    </row>
    <row r="20" spans="1:9" x14ac:dyDescent="0.3">
      <c r="A20" s="60"/>
      <c r="B20" s="64">
        <v>1128479264</v>
      </c>
      <c r="C20" s="65" t="s">
        <v>146</v>
      </c>
      <c r="D20" s="70">
        <v>6226</v>
      </c>
      <c r="E20" s="44">
        <v>3163137199</v>
      </c>
      <c r="F20" s="60">
        <v>45531</v>
      </c>
      <c r="G20" s="71">
        <v>45532</v>
      </c>
      <c r="H20" s="71">
        <v>45622</v>
      </c>
      <c r="I20" s="57" t="str">
        <f>IFERROR(#REF!+#REF!,"")</f>
        <v/>
      </c>
    </row>
    <row r="21" spans="1:9" x14ac:dyDescent="0.3">
      <c r="A21" s="60"/>
      <c r="B21" s="44">
        <v>17685011</v>
      </c>
      <c r="C21" s="41" t="s">
        <v>160</v>
      </c>
      <c r="D21" s="49">
        <v>8201</v>
      </c>
      <c r="E21" s="44">
        <v>3163616098</v>
      </c>
      <c r="F21" s="60">
        <v>45602</v>
      </c>
      <c r="G21" s="71">
        <v>45611</v>
      </c>
      <c r="H21" s="71">
        <v>45720</v>
      </c>
      <c r="I21" s="57" t="str">
        <f>IFERROR(#REF!+#REF!,"")</f>
        <v/>
      </c>
    </row>
    <row r="22" spans="1:9" x14ac:dyDescent="0.3">
      <c r="A22" s="60"/>
      <c r="B22" s="58">
        <v>1128479264</v>
      </c>
      <c r="C22" s="59" t="s">
        <v>146</v>
      </c>
      <c r="D22" s="70">
        <v>6252</v>
      </c>
      <c r="E22" s="44">
        <v>3163137199</v>
      </c>
      <c r="F22" s="60">
        <v>45532</v>
      </c>
      <c r="G22" s="71">
        <v>45533</v>
      </c>
      <c r="H22" s="71">
        <v>45533</v>
      </c>
      <c r="I22" s="57" t="str">
        <f>IFERROR(#REF!+#REF!,"")</f>
        <v/>
      </c>
    </row>
    <row r="23" spans="1:9" x14ac:dyDescent="0.3">
      <c r="A23" s="60"/>
      <c r="B23" s="44">
        <v>1035910024</v>
      </c>
      <c r="C23" s="41" t="s">
        <v>328</v>
      </c>
      <c r="D23" s="49">
        <v>8054</v>
      </c>
      <c r="E23" s="44">
        <v>3117288733</v>
      </c>
      <c r="F23" s="60">
        <v>45597</v>
      </c>
      <c r="G23" s="71">
        <v>45614</v>
      </c>
      <c r="H23" s="71">
        <v>45720</v>
      </c>
      <c r="I23" s="57" t="str">
        <f>IFERROR(#REF!+#REF!,"")</f>
        <v/>
      </c>
    </row>
    <row r="24" spans="1:9" x14ac:dyDescent="0.3">
      <c r="A24" s="60"/>
      <c r="B24" s="58">
        <v>1065659658</v>
      </c>
      <c r="C24" s="59" t="s">
        <v>157</v>
      </c>
      <c r="D24" s="70">
        <v>6255</v>
      </c>
      <c r="E24" s="44">
        <v>3114065409</v>
      </c>
      <c r="F24" s="60">
        <v>45532</v>
      </c>
      <c r="G24" s="71">
        <v>45533</v>
      </c>
      <c r="H24" s="71">
        <v>45533</v>
      </c>
      <c r="I24" s="57" t="str">
        <f>IFERROR(#REF!+#REF!,"")</f>
        <v/>
      </c>
    </row>
    <row r="25" spans="1:9" x14ac:dyDescent="0.3">
      <c r="A25" s="60"/>
      <c r="B25" s="61">
        <v>17685011</v>
      </c>
      <c r="C25" s="62" t="s">
        <v>160</v>
      </c>
      <c r="D25" s="69">
        <v>6262</v>
      </c>
      <c r="E25" s="44">
        <v>3163616098</v>
      </c>
      <c r="F25" s="60">
        <v>45533</v>
      </c>
      <c r="G25" s="71">
        <v>45533</v>
      </c>
      <c r="H25" s="71">
        <v>45586</v>
      </c>
      <c r="I25" s="57" t="str">
        <f>IFERROR(#REF!+#REF!,"")</f>
        <v/>
      </c>
    </row>
    <row r="26" spans="1:9" x14ac:dyDescent="0.3">
      <c r="A26" s="60"/>
      <c r="B26" s="44">
        <v>1128270325</v>
      </c>
      <c r="C26" s="41" t="s">
        <v>330</v>
      </c>
      <c r="D26" s="49">
        <v>8055</v>
      </c>
      <c r="E26" s="44">
        <v>3117617747</v>
      </c>
      <c r="F26" s="60">
        <v>45597</v>
      </c>
      <c r="G26" s="71">
        <v>45614</v>
      </c>
      <c r="H26" s="71">
        <v>45720</v>
      </c>
      <c r="I26" s="57" t="str">
        <f>IFERROR(#REF!+#REF!,"")</f>
        <v/>
      </c>
    </row>
    <row r="27" spans="1:9" x14ac:dyDescent="0.3">
      <c r="B27" s="44">
        <v>1152442448</v>
      </c>
      <c r="C27" s="41" t="s">
        <v>342</v>
      </c>
      <c r="D27" s="49">
        <v>8059</v>
      </c>
      <c r="E27" s="44">
        <v>3245870636</v>
      </c>
      <c r="F27" s="60">
        <v>45597</v>
      </c>
      <c r="G27" s="71">
        <v>45614</v>
      </c>
      <c r="H27" s="71">
        <v>45720</v>
      </c>
      <c r="I27" s="57" t="str">
        <f>IFERROR(#REF!+#REF!,"")</f>
        <v/>
      </c>
    </row>
    <row r="28" spans="1:9" x14ac:dyDescent="0.3">
      <c r="B28" s="44">
        <v>1035910024</v>
      </c>
      <c r="C28" s="41" t="s">
        <v>328</v>
      </c>
      <c r="D28" s="49">
        <v>8062</v>
      </c>
      <c r="E28" s="44">
        <v>3117288733</v>
      </c>
      <c r="F28" s="60">
        <v>45597</v>
      </c>
      <c r="G28" s="71">
        <v>45614</v>
      </c>
      <c r="H28" s="71">
        <v>45720</v>
      </c>
      <c r="I28" s="57" t="str">
        <f>IFERROR(#REF!+#REF!,"")</f>
        <v/>
      </c>
    </row>
    <row r="29" spans="1:9" x14ac:dyDescent="0.3">
      <c r="B29" s="44">
        <v>3378476</v>
      </c>
      <c r="C29" s="41" t="s">
        <v>166</v>
      </c>
      <c r="D29" s="49">
        <v>6397</v>
      </c>
      <c r="E29" s="44">
        <v>3043344002</v>
      </c>
      <c r="F29" s="60">
        <v>45538</v>
      </c>
      <c r="G29" s="71">
        <v>45538</v>
      </c>
      <c r="H29" s="71">
        <v>45586</v>
      </c>
      <c r="I29" s="57" t="str">
        <f>IFERROR(#REF!+#REF!,"")</f>
        <v/>
      </c>
    </row>
    <row r="30" spans="1:9" x14ac:dyDescent="0.3">
      <c r="B30" s="58">
        <v>1128479264</v>
      </c>
      <c r="C30" s="59" t="s">
        <v>146</v>
      </c>
      <c r="D30" s="49">
        <v>6398</v>
      </c>
      <c r="E30" s="44">
        <v>3163137199</v>
      </c>
      <c r="F30" s="60">
        <v>45538</v>
      </c>
      <c r="G30" s="71">
        <v>45538</v>
      </c>
      <c r="H30" s="71">
        <v>45552</v>
      </c>
      <c r="I30" s="57" t="str">
        <f>IFERROR(#REF!+#REF!,"")</f>
        <v/>
      </c>
    </row>
    <row r="31" spans="1:9" x14ac:dyDescent="0.3">
      <c r="B31" s="58">
        <v>1065659658</v>
      </c>
      <c r="C31" s="59" t="s">
        <v>157</v>
      </c>
      <c r="D31" s="49">
        <v>6399</v>
      </c>
      <c r="E31" s="44">
        <v>3114065409</v>
      </c>
      <c r="F31" s="60">
        <v>45538</v>
      </c>
      <c r="G31" s="71">
        <v>45538</v>
      </c>
      <c r="H31" s="71">
        <v>45552</v>
      </c>
      <c r="I31" s="57" t="str">
        <f>IFERROR(#REF!+#REF!,"")</f>
        <v/>
      </c>
    </row>
    <row r="32" spans="1:9" x14ac:dyDescent="0.3">
      <c r="B32" s="44">
        <v>75080238</v>
      </c>
      <c r="C32" s="41" t="s">
        <v>338</v>
      </c>
      <c r="D32" s="49">
        <v>8066</v>
      </c>
      <c r="E32" s="44">
        <v>3042370000</v>
      </c>
      <c r="F32" s="60">
        <v>45597</v>
      </c>
      <c r="G32" s="71">
        <v>45614</v>
      </c>
      <c r="H32" s="71">
        <v>45720</v>
      </c>
      <c r="I32" s="57" t="str">
        <f>IFERROR(#REF!+#REF!,"")</f>
        <v/>
      </c>
    </row>
    <row r="33" spans="2:9" x14ac:dyDescent="0.3">
      <c r="B33" s="44">
        <v>1026132871</v>
      </c>
      <c r="C33" s="41" t="s">
        <v>93</v>
      </c>
      <c r="D33" s="49">
        <v>8067</v>
      </c>
      <c r="E33" s="44">
        <v>3115315360</v>
      </c>
      <c r="F33" s="60">
        <v>45597</v>
      </c>
      <c r="G33" s="71">
        <v>45614</v>
      </c>
      <c r="H33" s="71">
        <v>45720</v>
      </c>
      <c r="I33" s="57" t="str">
        <f>IFERROR(#REF!+#REF!,"")</f>
        <v/>
      </c>
    </row>
    <row r="34" spans="2:9" x14ac:dyDescent="0.3">
      <c r="B34" s="44">
        <v>1032364015</v>
      </c>
      <c r="C34" s="41" t="s">
        <v>359</v>
      </c>
      <c r="D34" s="49">
        <v>8068</v>
      </c>
      <c r="E34" s="44">
        <v>3105842840</v>
      </c>
      <c r="F34" s="60">
        <v>45597</v>
      </c>
      <c r="G34" s="71">
        <v>45611</v>
      </c>
      <c r="H34" s="71">
        <v>45720</v>
      </c>
      <c r="I34" s="57" t="str">
        <f>IFERROR(#REF!+#REF!,"")</f>
        <v/>
      </c>
    </row>
    <row r="35" spans="2:9" x14ac:dyDescent="0.3">
      <c r="B35" s="47">
        <v>1110516748</v>
      </c>
      <c r="C35" s="48" t="s">
        <v>176</v>
      </c>
      <c r="D35" s="49">
        <v>6631</v>
      </c>
      <c r="E35" s="44">
        <v>3219872764</v>
      </c>
      <c r="F35" s="60">
        <v>45545</v>
      </c>
      <c r="G35" s="71">
        <v>45552</v>
      </c>
      <c r="H35" s="71">
        <v>45638</v>
      </c>
      <c r="I35" s="57" t="str">
        <f>IFERROR(#REF!+#REF!,"")</f>
        <v/>
      </c>
    </row>
    <row r="36" spans="2:9" x14ac:dyDescent="0.3">
      <c r="B36" s="47">
        <v>1110516748</v>
      </c>
      <c r="C36" s="48" t="s">
        <v>176</v>
      </c>
      <c r="D36" s="49">
        <v>6632</v>
      </c>
      <c r="E36" s="44">
        <v>3219872764</v>
      </c>
      <c r="F36" s="60">
        <v>45545</v>
      </c>
      <c r="G36" s="71">
        <v>45552</v>
      </c>
      <c r="H36" s="71">
        <v>45638</v>
      </c>
      <c r="I36" s="57" t="str">
        <f>IFERROR(#REF!+#REF!,"")</f>
        <v/>
      </c>
    </row>
    <row r="37" spans="2:9" x14ac:dyDescent="0.3">
      <c r="B37" s="44">
        <v>59834499</v>
      </c>
      <c r="C37" s="41" t="s">
        <v>56</v>
      </c>
      <c r="D37" s="49">
        <v>8070</v>
      </c>
      <c r="E37" s="44">
        <v>3006028506</v>
      </c>
      <c r="F37" s="60">
        <v>45597</v>
      </c>
      <c r="G37" s="71">
        <v>45611</v>
      </c>
      <c r="H37" s="71">
        <v>45720</v>
      </c>
      <c r="I37" s="57" t="str">
        <f>IFERROR(#REF!+#REF!,"")</f>
        <v/>
      </c>
    </row>
    <row r="38" spans="2:9" x14ac:dyDescent="0.3">
      <c r="B38" s="44">
        <v>1046667722</v>
      </c>
      <c r="C38" s="41" t="s">
        <v>312</v>
      </c>
      <c r="D38" s="49">
        <v>8071</v>
      </c>
      <c r="E38" s="44">
        <v>3217858692</v>
      </c>
      <c r="F38" s="60">
        <v>45597</v>
      </c>
      <c r="G38" s="71">
        <v>45611</v>
      </c>
      <c r="H38" s="71">
        <v>45720</v>
      </c>
      <c r="I38" s="57" t="str">
        <f>IFERROR(#REF!+#REF!,"")</f>
        <v/>
      </c>
    </row>
    <row r="39" spans="2:9" x14ac:dyDescent="0.3">
      <c r="B39" s="44">
        <v>1040515524</v>
      </c>
      <c r="C39" s="48" t="s">
        <v>174</v>
      </c>
      <c r="D39" s="49">
        <v>6729</v>
      </c>
      <c r="E39" s="44">
        <v>3147378466</v>
      </c>
      <c r="F39" s="60">
        <v>45551</v>
      </c>
      <c r="G39" s="71">
        <v>45553</v>
      </c>
      <c r="H39" s="71">
        <v>45559</v>
      </c>
      <c r="I39" s="57" t="str">
        <f>IFERROR(#REF!+#REF!,"")</f>
        <v/>
      </c>
    </row>
    <row r="40" spans="2:9" x14ac:dyDescent="0.3">
      <c r="B40" s="47">
        <v>1020395897</v>
      </c>
      <c r="C40" s="48" t="s">
        <v>253</v>
      </c>
      <c r="D40" s="49">
        <v>6769</v>
      </c>
      <c r="E40" s="44">
        <v>3234638510</v>
      </c>
      <c r="F40" s="60">
        <v>45552</v>
      </c>
      <c r="G40" s="71">
        <v>45553</v>
      </c>
      <c r="H40" s="71">
        <v>45559</v>
      </c>
      <c r="I40" s="57" t="str">
        <f>IFERROR(#REF!+#REF!,"")</f>
        <v/>
      </c>
    </row>
    <row r="41" spans="2:9" x14ac:dyDescent="0.3">
      <c r="B41" s="44">
        <v>1046667722</v>
      </c>
      <c r="C41" s="41" t="s">
        <v>312</v>
      </c>
      <c r="D41" s="49">
        <v>7989</v>
      </c>
      <c r="E41" s="44">
        <v>3217858692</v>
      </c>
      <c r="F41" s="60">
        <v>45595</v>
      </c>
      <c r="G41" s="71">
        <v>45611</v>
      </c>
      <c r="H41" s="71">
        <v>45720</v>
      </c>
      <c r="I41" s="57" t="str">
        <f>IFERROR(#REF!+#REF!,"")</f>
        <v/>
      </c>
    </row>
    <row r="42" spans="2:9" x14ac:dyDescent="0.3">
      <c r="B42" s="44">
        <v>41492365</v>
      </c>
      <c r="C42" s="41" t="s">
        <v>296</v>
      </c>
      <c r="D42" s="49">
        <v>7992</v>
      </c>
      <c r="E42" s="44">
        <v>3206646656</v>
      </c>
      <c r="F42" s="60">
        <v>45595</v>
      </c>
      <c r="G42" s="71">
        <v>45614</v>
      </c>
      <c r="H42" s="71">
        <v>45720</v>
      </c>
      <c r="I42" s="57" t="str">
        <f>IFERROR(#REF!+#REF!,"")</f>
        <v/>
      </c>
    </row>
    <row r="43" spans="2:9" x14ac:dyDescent="0.3">
      <c r="B43" s="64">
        <v>1128479264</v>
      </c>
      <c r="C43" s="65" t="s">
        <v>146</v>
      </c>
      <c r="D43" s="49">
        <v>7323</v>
      </c>
      <c r="E43" s="44">
        <v>3163137199</v>
      </c>
      <c r="F43" s="60">
        <v>45573</v>
      </c>
      <c r="G43" s="71">
        <v>45580</v>
      </c>
      <c r="H43" s="71">
        <v>45630</v>
      </c>
      <c r="I43" s="57" t="str">
        <f>IFERROR(#REF!+#REF!,"")</f>
        <v/>
      </c>
    </row>
    <row r="44" spans="2:9" x14ac:dyDescent="0.3">
      <c r="B44" s="44">
        <v>1026132871</v>
      </c>
      <c r="C44" s="41" t="s">
        <v>93</v>
      </c>
      <c r="D44" s="49">
        <v>7994</v>
      </c>
      <c r="E44" s="44">
        <v>3115315360</v>
      </c>
      <c r="F44" s="60">
        <v>45595</v>
      </c>
      <c r="G44" s="71">
        <v>45614</v>
      </c>
      <c r="H44" s="71">
        <v>45720</v>
      </c>
      <c r="I44" s="57" t="str">
        <f>IFERROR(#REF!+#REF!,"")</f>
        <v/>
      </c>
    </row>
    <row r="45" spans="2:9" x14ac:dyDescent="0.3">
      <c r="B45" s="47">
        <v>1020104155</v>
      </c>
      <c r="C45" s="41" t="s">
        <v>197</v>
      </c>
      <c r="D45" s="49">
        <v>7325</v>
      </c>
      <c r="E45" s="44">
        <v>3242838828</v>
      </c>
      <c r="F45" s="60">
        <v>45573</v>
      </c>
      <c r="G45" s="71">
        <v>45580</v>
      </c>
      <c r="H45" s="71">
        <v>45630</v>
      </c>
      <c r="I45" s="57" t="str">
        <f>IFERROR(#REF!+#REF!,"")</f>
        <v/>
      </c>
    </row>
    <row r="46" spans="2:9" x14ac:dyDescent="0.3">
      <c r="B46" s="44">
        <v>1128479796</v>
      </c>
      <c r="C46" s="41" t="s">
        <v>200</v>
      </c>
      <c r="D46" s="49">
        <v>7326</v>
      </c>
      <c r="E46" s="44">
        <v>3214033754</v>
      </c>
      <c r="F46" s="60">
        <v>45573</v>
      </c>
      <c r="G46" s="71">
        <v>45580</v>
      </c>
      <c r="H46" s="71">
        <v>45630</v>
      </c>
      <c r="I46" s="57" t="str">
        <f>IFERROR(#REF!+#REF!,"")</f>
        <v/>
      </c>
    </row>
    <row r="47" spans="2:9" x14ac:dyDescent="0.3">
      <c r="B47" s="44">
        <v>1001415647</v>
      </c>
      <c r="C47" s="41" t="s">
        <v>88</v>
      </c>
      <c r="D47" s="49">
        <v>7424</v>
      </c>
      <c r="E47" s="44">
        <v>3145713432</v>
      </c>
      <c r="F47" s="60">
        <v>45575</v>
      </c>
      <c r="G47" s="71">
        <v>45580</v>
      </c>
      <c r="H47" s="71">
        <v>45630</v>
      </c>
      <c r="I47" s="57" t="str">
        <f>IFERROR(#REF!+#REF!,"")</f>
        <v/>
      </c>
    </row>
    <row r="48" spans="2:9" x14ac:dyDescent="0.3">
      <c r="B48" s="55">
        <v>1035919597</v>
      </c>
      <c r="C48" s="56" t="s">
        <v>148</v>
      </c>
      <c r="D48" s="69">
        <v>6240</v>
      </c>
      <c r="E48" s="44">
        <v>3148754310</v>
      </c>
      <c r="F48" s="60">
        <v>45532</v>
      </c>
      <c r="G48" s="71">
        <v>45532</v>
      </c>
      <c r="H48" s="71">
        <v>45693</v>
      </c>
      <c r="I48" s="57" t="str">
        <f>IFERROR(#REF!+#REF!,"")</f>
        <v/>
      </c>
    </row>
    <row r="49" spans="2:9" x14ac:dyDescent="0.3">
      <c r="B49" s="61">
        <v>71216235</v>
      </c>
      <c r="C49" s="62" t="s">
        <v>133</v>
      </c>
      <c r="D49" s="69">
        <v>5984</v>
      </c>
      <c r="E49" s="44">
        <v>3144427080</v>
      </c>
      <c r="F49" s="60">
        <v>45519</v>
      </c>
      <c r="G49" s="71">
        <v>45519</v>
      </c>
      <c r="H49" s="71">
        <v>45693</v>
      </c>
      <c r="I49" s="57" t="str">
        <f>IFERROR(#REF!+#REF!,"")</f>
        <v/>
      </c>
    </row>
    <row r="50" spans="2:9" x14ac:dyDescent="0.3">
      <c r="B50" s="44">
        <v>1015276535</v>
      </c>
      <c r="C50" s="89" t="s">
        <v>207</v>
      </c>
      <c r="D50" s="49">
        <v>7428</v>
      </c>
      <c r="E50" s="44">
        <v>3005345128</v>
      </c>
      <c r="F50" s="60">
        <v>45575</v>
      </c>
      <c r="G50" s="71">
        <v>45581</v>
      </c>
      <c r="H50" s="71">
        <v>45630</v>
      </c>
      <c r="I50" s="57" t="str">
        <f>IFERROR(#REF!+#REF!,"")</f>
        <v/>
      </c>
    </row>
    <row r="51" spans="2:9" x14ac:dyDescent="0.3">
      <c r="B51" s="55">
        <v>4116903</v>
      </c>
      <c r="C51" s="56" t="s">
        <v>125</v>
      </c>
      <c r="D51" s="69">
        <v>5919</v>
      </c>
      <c r="E51" s="44">
        <v>3216093921</v>
      </c>
      <c r="F51" s="60">
        <v>45517</v>
      </c>
      <c r="G51" s="71">
        <v>45518</v>
      </c>
      <c r="H51" s="71">
        <v>45693</v>
      </c>
      <c r="I51" s="57" t="str">
        <f>IFERROR(#REF!+#REF!,"")</f>
        <v/>
      </c>
    </row>
    <row r="52" spans="2:9" x14ac:dyDescent="0.3">
      <c r="B52" s="47">
        <v>4116903</v>
      </c>
      <c r="C52" s="48" t="s">
        <v>125</v>
      </c>
      <c r="D52" s="49">
        <v>6826</v>
      </c>
      <c r="E52" s="44">
        <v>3216093921</v>
      </c>
      <c r="F52" s="60">
        <v>45554</v>
      </c>
      <c r="G52" s="71">
        <v>45559</v>
      </c>
      <c r="H52" s="71">
        <v>45561</v>
      </c>
      <c r="I52" s="57" t="str">
        <f>IFERROR(#REF!+#REF!,"")</f>
        <v/>
      </c>
    </row>
    <row r="53" spans="2:9" x14ac:dyDescent="0.3">
      <c r="B53" s="44">
        <v>71801338</v>
      </c>
      <c r="C53" s="41" t="s">
        <v>209</v>
      </c>
      <c r="D53" s="49">
        <v>7431</v>
      </c>
      <c r="E53" s="44">
        <v>3023318827</v>
      </c>
      <c r="F53" s="60">
        <v>45575</v>
      </c>
      <c r="G53" s="71">
        <v>45581</v>
      </c>
      <c r="H53" s="71">
        <v>45630</v>
      </c>
      <c r="I53" s="57" t="str">
        <f>IFERROR(#REF!+#REF!,"")</f>
        <v/>
      </c>
    </row>
    <row r="54" spans="2:9" x14ac:dyDescent="0.3">
      <c r="B54" s="47">
        <v>1036394175</v>
      </c>
      <c r="C54" s="48" t="s">
        <v>191</v>
      </c>
      <c r="D54" s="49">
        <v>6770</v>
      </c>
      <c r="E54" s="44">
        <v>3108385408</v>
      </c>
      <c r="F54" s="60">
        <v>45552</v>
      </c>
      <c r="G54" s="71">
        <v>45553</v>
      </c>
      <c r="H54" s="71">
        <v>45561</v>
      </c>
      <c r="I54" s="57" t="str">
        <f>IFERROR(#REF!+#REF!,"")</f>
        <v/>
      </c>
    </row>
    <row r="55" spans="2:9" x14ac:dyDescent="0.3">
      <c r="B55" s="44">
        <v>1127940223</v>
      </c>
      <c r="C55" s="41" t="s">
        <v>212</v>
      </c>
      <c r="D55" s="49">
        <v>7451</v>
      </c>
      <c r="E55" s="44">
        <v>3183583052</v>
      </c>
      <c r="F55" s="60">
        <v>45576</v>
      </c>
      <c r="G55" s="71">
        <v>45583</v>
      </c>
      <c r="H55" s="71">
        <v>45630</v>
      </c>
      <c r="I55" s="57" t="str">
        <f>IFERROR(#REF!+#REF!,"")</f>
        <v/>
      </c>
    </row>
    <row r="56" spans="2:9" x14ac:dyDescent="0.3">
      <c r="B56" s="47">
        <v>4116903</v>
      </c>
      <c r="C56" s="48" t="s">
        <v>125</v>
      </c>
      <c r="D56" s="49">
        <v>7452</v>
      </c>
      <c r="E56" s="44">
        <v>3216093921</v>
      </c>
      <c r="F56" s="60">
        <v>45576</v>
      </c>
      <c r="G56" s="71">
        <v>45583</v>
      </c>
      <c r="H56" s="71">
        <v>45630</v>
      </c>
      <c r="I56" s="57" t="str">
        <f>IFERROR(#REF!+#REF!,"")</f>
        <v/>
      </c>
    </row>
    <row r="57" spans="2:9" x14ac:dyDescent="0.3">
      <c r="B57" s="58">
        <v>1035918433</v>
      </c>
      <c r="C57" s="59" t="s">
        <v>155</v>
      </c>
      <c r="D57" s="70">
        <v>6696</v>
      </c>
      <c r="E57" s="44">
        <v>3244074165</v>
      </c>
      <c r="F57" s="60">
        <v>45547</v>
      </c>
      <c r="G57" s="71">
        <v>45552</v>
      </c>
      <c r="H57" s="71">
        <v>45561</v>
      </c>
      <c r="I57" s="57" t="str">
        <f>IFERROR(#REF!+#REF!,"")</f>
        <v/>
      </c>
    </row>
    <row r="58" spans="2:9" x14ac:dyDescent="0.3">
      <c r="B58" s="47">
        <v>98553008</v>
      </c>
      <c r="C58" s="48" t="s">
        <v>181</v>
      </c>
      <c r="D58" s="49">
        <v>6633</v>
      </c>
      <c r="E58" s="44">
        <v>3043832813</v>
      </c>
      <c r="F58" s="60">
        <v>45545</v>
      </c>
      <c r="G58" s="71">
        <v>45552</v>
      </c>
      <c r="H58" s="71">
        <v>45561</v>
      </c>
      <c r="I58" s="57" t="str">
        <f>IFERROR(#REF!+#REF!,"")</f>
        <v/>
      </c>
    </row>
    <row r="59" spans="2:9" x14ac:dyDescent="0.3">
      <c r="B59" s="64">
        <v>1128479264</v>
      </c>
      <c r="C59" s="65" t="s">
        <v>146</v>
      </c>
      <c r="D59" s="49">
        <v>6495</v>
      </c>
      <c r="E59" s="44">
        <v>3163137199</v>
      </c>
      <c r="F59" s="60">
        <v>45540</v>
      </c>
      <c r="G59" s="71">
        <v>45541</v>
      </c>
      <c r="H59" s="71">
        <v>45561</v>
      </c>
      <c r="I59" s="57" t="str">
        <f>IFERROR(#REF!+#REF!,"")</f>
        <v/>
      </c>
    </row>
    <row r="60" spans="2:9" x14ac:dyDescent="0.3">
      <c r="B60" s="44">
        <v>1040515524</v>
      </c>
      <c r="C60" s="48" t="s">
        <v>174</v>
      </c>
      <c r="D60" s="49">
        <v>6454</v>
      </c>
      <c r="E60" s="44">
        <v>3147378466</v>
      </c>
      <c r="F60" s="71">
        <v>45539</v>
      </c>
      <c r="G60" s="71">
        <v>45541</v>
      </c>
      <c r="H60" s="71">
        <v>45561</v>
      </c>
      <c r="I60" s="57" t="str">
        <f>IFERROR(#REF!+#REF!,"")</f>
        <v/>
      </c>
    </row>
    <row r="61" spans="2:9" x14ac:dyDescent="0.3">
      <c r="B61" s="44">
        <v>1040515524</v>
      </c>
      <c r="C61" s="48" t="s">
        <v>174</v>
      </c>
      <c r="D61" s="49">
        <v>6455</v>
      </c>
      <c r="E61" s="44">
        <v>3147378466</v>
      </c>
      <c r="F61" s="71">
        <v>45539</v>
      </c>
      <c r="G61" s="71">
        <v>45541</v>
      </c>
      <c r="H61" s="71">
        <v>45561</v>
      </c>
      <c r="I61" s="57" t="str">
        <f>IFERROR(#REF!+#REF!,"")</f>
        <v/>
      </c>
    </row>
    <row r="62" spans="2:9" x14ac:dyDescent="0.3">
      <c r="B62" s="55">
        <v>1045047014</v>
      </c>
      <c r="C62" s="41" t="s">
        <v>139</v>
      </c>
      <c r="D62" s="49">
        <v>6376</v>
      </c>
      <c r="E62" s="44">
        <v>3136876634</v>
      </c>
      <c r="F62" s="60">
        <v>45537</v>
      </c>
      <c r="G62" s="71">
        <v>45537</v>
      </c>
      <c r="H62" s="71">
        <v>45561</v>
      </c>
      <c r="I62" s="57" t="str">
        <f>IFERROR(#REF!+#REF!,"")</f>
        <v/>
      </c>
    </row>
    <row r="63" spans="2:9" x14ac:dyDescent="0.3">
      <c r="B63" s="58">
        <v>1128479264</v>
      </c>
      <c r="C63" s="59" t="s">
        <v>146</v>
      </c>
      <c r="D63" s="49">
        <v>6377</v>
      </c>
      <c r="E63" s="44">
        <v>3163137199</v>
      </c>
      <c r="F63" s="60">
        <v>45537</v>
      </c>
      <c r="G63" s="71">
        <v>45537</v>
      </c>
      <c r="H63" s="71">
        <v>45561</v>
      </c>
      <c r="I63" s="57" t="str">
        <f>IFERROR(#REF!+#REF!,"")</f>
        <v/>
      </c>
    </row>
    <row r="64" spans="2:9" x14ac:dyDescent="0.3">
      <c r="B64" s="44">
        <v>1000306801</v>
      </c>
      <c r="C64" s="41" t="s">
        <v>229</v>
      </c>
      <c r="D64" s="49">
        <v>7522</v>
      </c>
      <c r="E64" s="44">
        <v>3206456136</v>
      </c>
      <c r="F64" s="60">
        <v>45580</v>
      </c>
      <c r="G64" s="71">
        <v>45593</v>
      </c>
      <c r="H64" s="71">
        <v>45616</v>
      </c>
      <c r="I64" s="57" t="str">
        <f>IFERROR(#REF!+#REF!,"")</f>
        <v/>
      </c>
    </row>
    <row r="65" spans="2:9" x14ac:dyDescent="0.3">
      <c r="B65" s="44">
        <v>1000306801</v>
      </c>
      <c r="C65" s="41" t="s">
        <v>229</v>
      </c>
      <c r="D65" s="49">
        <v>7524</v>
      </c>
      <c r="E65" s="44">
        <v>3206456136</v>
      </c>
      <c r="F65" s="60">
        <v>45580</v>
      </c>
      <c r="G65" s="71">
        <v>45593</v>
      </c>
      <c r="H65" s="71">
        <v>45616</v>
      </c>
      <c r="I65" s="57" t="str">
        <f>IFERROR(#REF!+#REF!,"")</f>
        <v/>
      </c>
    </row>
    <row r="66" spans="2:9" x14ac:dyDescent="0.3">
      <c r="B66" s="44">
        <v>71801338</v>
      </c>
      <c r="C66" s="41" t="s">
        <v>209</v>
      </c>
      <c r="D66" s="49">
        <v>7521</v>
      </c>
      <c r="E66" s="44">
        <v>3023318827</v>
      </c>
      <c r="F66" s="60">
        <v>45580</v>
      </c>
      <c r="G66" s="71">
        <v>45583</v>
      </c>
      <c r="H66" s="71">
        <v>45630</v>
      </c>
      <c r="I66" s="57" t="str">
        <f>IFERROR(#REF!+#REF!,"")</f>
        <v/>
      </c>
    </row>
    <row r="67" spans="2:9" x14ac:dyDescent="0.3">
      <c r="B67" s="44">
        <v>15258043</v>
      </c>
      <c r="C67" s="41" t="s">
        <v>233</v>
      </c>
      <c r="D67" s="49">
        <v>7525</v>
      </c>
      <c r="E67" s="44">
        <v>3144765766</v>
      </c>
      <c r="F67" s="60">
        <v>45580</v>
      </c>
      <c r="G67" s="71">
        <v>45593</v>
      </c>
      <c r="H67" s="71">
        <v>45616</v>
      </c>
      <c r="I67" s="57" t="str">
        <f>IFERROR(#REF!+#REF!,"")</f>
        <v/>
      </c>
    </row>
    <row r="68" spans="2:9" x14ac:dyDescent="0.3">
      <c r="B68" s="44">
        <v>1000306801</v>
      </c>
      <c r="C68" s="41" t="s">
        <v>229</v>
      </c>
      <c r="D68" s="49">
        <v>7523</v>
      </c>
      <c r="E68" s="44">
        <v>3206456136</v>
      </c>
      <c r="F68" s="60">
        <v>45580</v>
      </c>
      <c r="G68" s="71">
        <v>45593</v>
      </c>
      <c r="H68" s="71">
        <v>45630</v>
      </c>
      <c r="I68" s="57" t="str">
        <f>IFERROR(#REF!+#REF!,"")</f>
        <v/>
      </c>
    </row>
    <row r="69" spans="2:9" x14ac:dyDescent="0.3">
      <c r="B69" s="44">
        <v>70878043</v>
      </c>
      <c r="C69" s="41" t="s">
        <v>217</v>
      </c>
      <c r="D69" s="49">
        <v>7453</v>
      </c>
      <c r="E69" s="44">
        <v>3023749166</v>
      </c>
      <c r="F69" s="60">
        <v>45576</v>
      </c>
      <c r="G69" s="71">
        <v>45583</v>
      </c>
      <c r="H69" s="71">
        <v>45616</v>
      </c>
      <c r="I69" s="57" t="str">
        <f>IFERROR(#REF!+#REF!,"")</f>
        <v/>
      </c>
    </row>
    <row r="70" spans="2:9" x14ac:dyDescent="0.3">
      <c r="B70" s="44">
        <v>1035912149</v>
      </c>
      <c r="C70" s="41" t="s">
        <v>220</v>
      </c>
      <c r="D70" s="49">
        <v>7455</v>
      </c>
      <c r="E70" s="44">
        <v>3217140279</v>
      </c>
      <c r="F70" s="60">
        <v>45576</v>
      </c>
      <c r="G70" s="71">
        <v>45583</v>
      </c>
      <c r="H70" s="71">
        <v>45616</v>
      </c>
      <c r="I70" s="57" t="str">
        <f>IFERROR(#REF!+#REF!,"")</f>
        <v/>
      </c>
    </row>
    <row r="71" spans="2:9" x14ac:dyDescent="0.3">
      <c r="B71" s="44">
        <v>15258043</v>
      </c>
      <c r="C71" s="41" t="s">
        <v>233</v>
      </c>
      <c r="D71" s="49">
        <v>7526</v>
      </c>
      <c r="E71" s="44">
        <v>3144765766</v>
      </c>
      <c r="F71" s="60">
        <v>45580</v>
      </c>
      <c r="G71" s="71">
        <v>45593</v>
      </c>
      <c r="H71" s="71">
        <v>45630</v>
      </c>
      <c r="I71" s="57" t="str">
        <f>IFERROR(#REF!+#REF!,"")</f>
        <v/>
      </c>
    </row>
    <row r="72" spans="2:9" x14ac:dyDescent="0.3">
      <c r="B72" s="44">
        <v>1007330306</v>
      </c>
      <c r="C72" s="41" t="s">
        <v>236</v>
      </c>
      <c r="D72" s="49">
        <v>7527</v>
      </c>
      <c r="E72" s="44">
        <v>3023466355</v>
      </c>
      <c r="F72" s="60">
        <v>45580</v>
      </c>
      <c r="G72" s="71">
        <v>45593</v>
      </c>
      <c r="H72" s="71">
        <v>45611</v>
      </c>
      <c r="I72" s="57" t="str">
        <f>IFERROR(#REF!+#REF!,"")</f>
        <v/>
      </c>
    </row>
    <row r="73" spans="2:9" x14ac:dyDescent="0.3">
      <c r="B73" s="44">
        <v>1007330306</v>
      </c>
      <c r="C73" s="41" t="s">
        <v>236</v>
      </c>
      <c r="D73" s="49">
        <v>7528</v>
      </c>
      <c r="E73" s="44">
        <v>3023466355</v>
      </c>
      <c r="F73" s="60">
        <v>45580</v>
      </c>
      <c r="G73" s="71">
        <v>45593</v>
      </c>
      <c r="H73" s="71">
        <v>45611</v>
      </c>
      <c r="I73" s="57" t="str">
        <f>IFERROR(#REF!+#REF!,"")</f>
        <v/>
      </c>
    </row>
    <row r="74" spans="2:9" x14ac:dyDescent="0.3">
      <c r="B74" s="44">
        <v>71742028</v>
      </c>
      <c r="C74" s="41" t="s">
        <v>237</v>
      </c>
      <c r="D74" s="49">
        <v>7529</v>
      </c>
      <c r="E74" s="44">
        <v>3245657716</v>
      </c>
      <c r="F74" s="60">
        <v>45580</v>
      </c>
      <c r="G74" s="71">
        <v>45593</v>
      </c>
      <c r="H74" s="71">
        <v>45611</v>
      </c>
      <c r="I74" s="57" t="str">
        <f>IFERROR(#REF!+#REF!,"")</f>
        <v/>
      </c>
    </row>
    <row r="75" spans="2:9" x14ac:dyDescent="0.3">
      <c r="B75" s="44">
        <v>71273030</v>
      </c>
      <c r="C75" s="41" t="s">
        <v>238</v>
      </c>
      <c r="D75" s="49">
        <v>7530</v>
      </c>
      <c r="E75" s="44">
        <v>3122376881</v>
      </c>
      <c r="F75" s="60">
        <v>45580</v>
      </c>
      <c r="G75" s="71">
        <v>45593</v>
      </c>
      <c r="H75" s="71">
        <v>45611</v>
      </c>
      <c r="I75" s="57" t="str">
        <f>IFERROR(#REF!+#REF!,"")</f>
        <v/>
      </c>
    </row>
    <row r="76" spans="2:9" x14ac:dyDescent="0.3">
      <c r="B76" s="44">
        <v>1013557593</v>
      </c>
      <c r="C76" s="41" t="s">
        <v>239</v>
      </c>
      <c r="D76" s="49">
        <v>7531</v>
      </c>
      <c r="E76" s="44">
        <v>3006015035</v>
      </c>
      <c r="F76" s="60">
        <v>45580</v>
      </c>
      <c r="G76" s="71">
        <v>45593</v>
      </c>
      <c r="H76" s="71">
        <v>45611</v>
      </c>
      <c r="I76" s="57" t="str">
        <f>IFERROR(#REF!+#REF!,"")</f>
        <v/>
      </c>
    </row>
    <row r="77" spans="2:9" x14ac:dyDescent="0.3">
      <c r="B77" s="44">
        <v>1036697118</v>
      </c>
      <c r="C77" s="41" t="s">
        <v>240</v>
      </c>
      <c r="D77" s="49">
        <v>7532</v>
      </c>
      <c r="E77" s="44">
        <v>3003231310</v>
      </c>
      <c r="F77" s="60">
        <v>45580</v>
      </c>
      <c r="G77" s="71">
        <v>45593</v>
      </c>
      <c r="H77" s="71">
        <v>45611</v>
      </c>
      <c r="I77" s="57" t="str">
        <f>IFERROR(#REF!+#REF!,"")</f>
        <v/>
      </c>
    </row>
    <row r="78" spans="2:9" x14ac:dyDescent="0.3">
      <c r="B78" s="44">
        <v>1036697118</v>
      </c>
      <c r="C78" s="41" t="s">
        <v>240</v>
      </c>
      <c r="D78" s="49">
        <v>7533</v>
      </c>
      <c r="E78" s="44">
        <v>3003231310</v>
      </c>
      <c r="F78" s="60">
        <v>45580</v>
      </c>
      <c r="G78" s="71">
        <v>45593</v>
      </c>
      <c r="H78" s="71">
        <v>45611</v>
      </c>
      <c r="I78" s="57" t="str">
        <f>IFERROR(#REF!+#REF!,"")</f>
        <v/>
      </c>
    </row>
    <row r="79" spans="2:9" x14ac:dyDescent="0.3">
      <c r="B79" s="44">
        <v>1035919859</v>
      </c>
      <c r="C79" s="41" t="s">
        <v>241</v>
      </c>
      <c r="D79" s="49">
        <v>7534</v>
      </c>
      <c r="E79" s="44">
        <v>3192909964</v>
      </c>
      <c r="F79" s="60">
        <v>45580</v>
      </c>
      <c r="G79" s="71">
        <v>45593</v>
      </c>
      <c r="H79" s="71">
        <v>45611</v>
      </c>
      <c r="I79" s="57" t="str">
        <f>IFERROR(#REF!+#REF!,"")</f>
        <v/>
      </c>
    </row>
    <row r="80" spans="2:9" x14ac:dyDescent="0.3">
      <c r="B80" s="44">
        <v>1147692351</v>
      </c>
      <c r="C80" s="41" t="s">
        <v>242</v>
      </c>
      <c r="D80" s="49">
        <v>7535</v>
      </c>
      <c r="E80" s="44">
        <v>3236274784</v>
      </c>
      <c r="F80" s="60">
        <v>45580</v>
      </c>
      <c r="G80" s="71">
        <v>45593</v>
      </c>
      <c r="H80" s="71">
        <v>45611</v>
      </c>
      <c r="I80" s="57" t="str">
        <f>IFERROR(#REF!+#REF!,"")</f>
        <v/>
      </c>
    </row>
    <row r="81" spans="2:9" x14ac:dyDescent="0.3">
      <c r="B81" s="44">
        <v>1214747832</v>
      </c>
      <c r="C81" s="41" t="s">
        <v>243</v>
      </c>
      <c r="D81" s="49">
        <v>7536</v>
      </c>
      <c r="E81" s="44">
        <v>3218499384</v>
      </c>
      <c r="F81" s="60">
        <v>45580</v>
      </c>
      <c r="G81" s="71">
        <v>45593</v>
      </c>
      <c r="H81" s="71">
        <v>45611</v>
      </c>
      <c r="I81" s="57" t="str">
        <f>IFERROR(#REF!+#REF!,"")</f>
        <v/>
      </c>
    </row>
    <row r="82" spans="2:9" x14ac:dyDescent="0.3">
      <c r="B82" s="44">
        <v>1036967118</v>
      </c>
      <c r="C82" s="41" t="s">
        <v>240</v>
      </c>
      <c r="D82" s="49">
        <v>7537</v>
      </c>
      <c r="E82" s="44">
        <v>3003231310</v>
      </c>
      <c r="F82" s="60">
        <v>45580</v>
      </c>
      <c r="G82" s="71">
        <v>45593</v>
      </c>
      <c r="H82" s="71">
        <v>45611</v>
      </c>
      <c r="I82" s="57" t="str">
        <f>IFERROR(#REF!+#REF!,"")</f>
        <v/>
      </c>
    </row>
    <row r="83" spans="2:9" x14ac:dyDescent="0.3">
      <c r="B83" s="44">
        <v>1013557593</v>
      </c>
      <c r="C83" s="41" t="s">
        <v>239</v>
      </c>
      <c r="D83" s="49">
        <v>7538</v>
      </c>
      <c r="E83" s="44">
        <v>3006015035</v>
      </c>
      <c r="F83" s="60">
        <v>45580</v>
      </c>
      <c r="G83" s="71">
        <v>45593</v>
      </c>
      <c r="H83" s="71">
        <v>45611</v>
      </c>
      <c r="I83" s="57" t="str">
        <f>IFERROR(#REF!+#REF!,"")</f>
        <v/>
      </c>
    </row>
    <row r="84" spans="2:9" x14ac:dyDescent="0.3">
      <c r="B84" s="44">
        <v>1035919859</v>
      </c>
      <c r="C84" s="41" t="s">
        <v>241</v>
      </c>
      <c r="D84" s="49">
        <v>7539</v>
      </c>
      <c r="E84" s="44">
        <v>3192909964</v>
      </c>
      <c r="F84" s="60">
        <v>45580</v>
      </c>
      <c r="G84" s="71">
        <v>45593</v>
      </c>
      <c r="H84" s="71">
        <v>45611</v>
      </c>
      <c r="I84" s="57" t="str">
        <f>IFERROR(#REF!+#REF!,"")</f>
        <v/>
      </c>
    </row>
    <row r="85" spans="2:9" x14ac:dyDescent="0.3">
      <c r="B85" s="44">
        <v>1000567397</v>
      </c>
      <c r="C85" s="41" t="s">
        <v>244</v>
      </c>
      <c r="D85" s="49">
        <v>7540</v>
      </c>
      <c r="E85" s="44">
        <v>3126736837</v>
      </c>
      <c r="F85" s="60">
        <v>45580</v>
      </c>
      <c r="G85" s="71">
        <v>45593</v>
      </c>
      <c r="H85" s="71">
        <v>45611</v>
      </c>
      <c r="I85" s="57" t="str">
        <f>IFERROR(#REF!+#REF!,"")</f>
        <v/>
      </c>
    </row>
    <row r="86" spans="2:9" x14ac:dyDescent="0.3">
      <c r="B86" s="44">
        <v>1073676872</v>
      </c>
      <c r="C86" s="41" t="s">
        <v>246</v>
      </c>
      <c r="D86" s="49">
        <v>7541</v>
      </c>
      <c r="E86" s="44">
        <v>3243016598</v>
      </c>
      <c r="F86" s="60">
        <v>45580</v>
      </c>
      <c r="G86" s="71">
        <v>45593</v>
      </c>
      <c r="H86" s="71">
        <v>45630</v>
      </c>
      <c r="I86" s="57" t="str">
        <f>IFERROR(#REF!+#REF!,"")</f>
        <v/>
      </c>
    </row>
    <row r="87" spans="2:9" x14ac:dyDescent="0.3">
      <c r="B87" s="44">
        <v>1040741865</v>
      </c>
      <c r="C87" s="41" t="s">
        <v>249</v>
      </c>
      <c r="D87" s="49">
        <v>7542</v>
      </c>
      <c r="E87" s="44">
        <v>3246215632</v>
      </c>
      <c r="F87" s="60">
        <v>45580</v>
      </c>
      <c r="G87" s="71">
        <v>45593</v>
      </c>
      <c r="H87" s="71">
        <v>45611</v>
      </c>
      <c r="I87" s="57" t="str">
        <f>IFERROR(#REF!+#REF!,"")</f>
        <v/>
      </c>
    </row>
    <row r="88" spans="2:9" x14ac:dyDescent="0.3">
      <c r="B88" s="44">
        <v>1000567397</v>
      </c>
      <c r="C88" s="41" t="s">
        <v>244</v>
      </c>
      <c r="D88" s="49">
        <v>7543</v>
      </c>
      <c r="E88" s="44">
        <v>3126736837</v>
      </c>
      <c r="F88" s="60">
        <v>45580</v>
      </c>
      <c r="G88" s="71">
        <v>45593</v>
      </c>
      <c r="H88" s="71">
        <v>45611</v>
      </c>
      <c r="I88" s="57" t="str">
        <f>IFERROR(#REF!+#REF!,"")</f>
        <v/>
      </c>
    </row>
    <row r="89" spans="2:9" x14ac:dyDescent="0.3">
      <c r="B89" s="44">
        <v>71311035</v>
      </c>
      <c r="C89" s="41" t="s">
        <v>114</v>
      </c>
      <c r="D89" s="49">
        <v>7544</v>
      </c>
      <c r="E89" s="44">
        <v>3242145035</v>
      </c>
      <c r="F89" s="60">
        <v>45580</v>
      </c>
      <c r="G89" s="71">
        <v>45593</v>
      </c>
      <c r="H89" s="71">
        <v>45611</v>
      </c>
      <c r="I89" s="57" t="str">
        <f>IFERROR(#REF!+#REF!,"")</f>
        <v/>
      </c>
    </row>
    <row r="90" spans="2:9" x14ac:dyDescent="0.3">
      <c r="B90" s="44">
        <v>71311035</v>
      </c>
      <c r="C90" s="41" t="s">
        <v>114</v>
      </c>
      <c r="D90" s="49">
        <v>7545</v>
      </c>
      <c r="E90" s="44">
        <v>3242145035</v>
      </c>
      <c r="F90" s="60">
        <v>45580</v>
      </c>
      <c r="G90" s="71">
        <v>45593</v>
      </c>
      <c r="H90" s="71">
        <v>45611</v>
      </c>
      <c r="I90" s="57" t="str">
        <f>IFERROR(#REF!+#REF!,"")</f>
        <v/>
      </c>
    </row>
    <row r="91" spans="2:9" x14ac:dyDescent="0.3">
      <c r="B91" s="44">
        <v>71311035</v>
      </c>
      <c r="C91" s="41" t="s">
        <v>114</v>
      </c>
      <c r="D91" s="49">
        <v>7546</v>
      </c>
      <c r="E91" s="44">
        <v>3242145035</v>
      </c>
      <c r="F91" s="60">
        <v>45580</v>
      </c>
      <c r="G91" s="71">
        <v>45593</v>
      </c>
      <c r="H91" s="71">
        <v>45630</v>
      </c>
      <c r="I91" s="57" t="str">
        <f>IFERROR(#REF!+#REF!,"")</f>
        <v/>
      </c>
    </row>
    <row r="92" spans="2:9" x14ac:dyDescent="0.3">
      <c r="B92" s="44">
        <v>1035392207</v>
      </c>
      <c r="C92" s="41" t="s">
        <v>256</v>
      </c>
      <c r="D92" s="49">
        <v>7547</v>
      </c>
      <c r="E92" s="44">
        <v>3205626445</v>
      </c>
      <c r="F92" s="60">
        <v>45580</v>
      </c>
      <c r="G92" s="71">
        <v>45593</v>
      </c>
      <c r="H92" s="71">
        <v>45611</v>
      </c>
      <c r="I92" s="57" t="str">
        <f>IFERROR(#REF!+#REF!,"")</f>
        <v/>
      </c>
    </row>
    <row r="93" spans="2:9" x14ac:dyDescent="0.3">
      <c r="B93" s="44">
        <v>78078872</v>
      </c>
      <c r="C93" s="41" t="s">
        <v>61</v>
      </c>
      <c r="D93" s="49">
        <v>7548</v>
      </c>
      <c r="E93" s="44">
        <v>3207375409</v>
      </c>
      <c r="F93" s="60">
        <v>45580</v>
      </c>
      <c r="G93" s="71">
        <v>45593</v>
      </c>
      <c r="H93" s="71">
        <v>45630</v>
      </c>
      <c r="I93" s="57" t="str">
        <f>IFERROR(#REF!+#REF!,"")</f>
        <v/>
      </c>
    </row>
    <row r="94" spans="2:9" x14ac:dyDescent="0.3">
      <c r="B94" s="44">
        <v>1010079231</v>
      </c>
      <c r="C94" s="41" t="s">
        <v>259</v>
      </c>
      <c r="D94" s="49">
        <v>7549</v>
      </c>
      <c r="E94" s="44">
        <v>3136357685</v>
      </c>
      <c r="F94" s="60">
        <v>45580</v>
      </c>
      <c r="G94" s="71">
        <v>45593</v>
      </c>
      <c r="H94" s="71">
        <v>45630</v>
      </c>
      <c r="I94" s="57" t="str">
        <f>IFERROR(#REF!+#REF!,"")</f>
        <v/>
      </c>
    </row>
    <row r="95" spans="2:9" x14ac:dyDescent="0.3">
      <c r="B95" s="44">
        <v>1035973354</v>
      </c>
      <c r="C95" s="41" t="s">
        <v>266</v>
      </c>
      <c r="D95" s="49">
        <v>7550</v>
      </c>
      <c r="E95" s="44">
        <v>3195902414</v>
      </c>
      <c r="F95" s="60">
        <v>45580</v>
      </c>
      <c r="G95" s="71">
        <v>45593</v>
      </c>
      <c r="H95" s="71">
        <v>45630</v>
      </c>
      <c r="I95" s="57" t="str">
        <f>IFERROR(#REF!+#REF!,"")</f>
        <v/>
      </c>
    </row>
    <row r="96" spans="2:9" x14ac:dyDescent="0.3">
      <c r="B96" s="44">
        <v>1035973354</v>
      </c>
      <c r="C96" s="41" t="s">
        <v>266</v>
      </c>
      <c r="D96" s="49">
        <v>7551</v>
      </c>
      <c r="E96" s="44">
        <v>3195902414</v>
      </c>
      <c r="F96" s="60">
        <v>45580</v>
      </c>
      <c r="G96" s="71">
        <v>45593</v>
      </c>
      <c r="H96" s="71">
        <v>45630</v>
      </c>
      <c r="I96" s="57" t="str">
        <f>IFERROR(#REF!+#REF!,"")</f>
        <v/>
      </c>
    </row>
    <row r="97" spans="2:9" x14ac:dyDescent="0.3">
      <c r="B97" s="44">
        <v>1013557593</v>
      </c>
      <c r="C97" s="41" t="s">
        <v>455</v>
      </c>
      <c r="D97" s="49">
        <v>7553</v>
      </c>
      <c r="E97" s="44">
        <v>3006015035</v>
      </c>
      <c r="F97" s="60">
        <v>45580</v>
      </c>
      <c r="G97" s="71">
        <v>45593</v>
      </c>
      <c r="H97" s="71">
        <v>45611</v>
      </c>
      <c r="I97" s="57" t="str">
        <f>IFERROR(#REF!+#REF!,"")</f>
        <v/>
      </c>
    </row>
    <row r="98" spans="2:9" x14ac:dyDescent="0.3">
      <c r="B98" s="44">
        <v>1036952208</v>
      </c>
      <c r="C98" s="41" t="s">
        <v>272</v>
      </c>
      <c r="D98" s="49">
        <v>7554</v>
      </c>
      <c r="E98" s="44">
        <v>3207016634</v>
      </c>
      <c r="F98" s="60">
        <v>45580</v>
      </c>
      <c r="G98" s="71">
        <v>45593</v>
      </c>
      <c r="H98" s="71">
        <v>45638</v>
      </c>
      <c r="I98" s="57" t="str">
        <f>IFERROR(#REF!+#REF!,"")</f>
        <v/>
      </c>
    </row>
    <row r="99" spans="2:9" x14ac:dyDescent="0.3">
      <c r="B99" s="44">
        <v>1036952208</v>
      </c>
      <c r="C99" s="41" t="s">
        <v>272</v>
      </c>
      <c r="D99" s="49">
        <v>7555</v>
      </c>
      <c r="E99" s="44">
        <v>3207016634</v>
      </c>
      <c r="F99" s="60">
        <v>45580</v>
      </c>
      <c r="G99" s="71">
        <v>45593</v>
      </c>
      <c r="H99" s="71">
        <v>45611</v>
      </c>
      <c r="I99" s="57" t="str">
        <f>IFERROR(#REF!+#REF!,"")</f>
        <v/>
      </c>
    </row>
    <row r="100" spans="2:9" x14ac:dyDescent="0.3">
      <c r="B100" s="44">
        <v>1001029657</v>
      </c>
      <c r="C100" s="41" t="s">
        <v>226</v>
      </c>
      <c r="D100" s="49">
        <v>7557</v>
      </c>
      <c r="E100" s="44">
        <v>3148854210</v>
      </c>
      <c r="F100" s="60">
        <v>45580</v>
      </c>
      <c r="G100" s="71">
        <v>45593</v>
      </c>
      <c r="H100" s="71">
        <v>45630</v>
      </c>
      <c r="I100" s="57" t="str">
        <f>IFERROR(#REF!+#REF!,"")</f>
        <v/>
      </c>
    </row>
    <row r="101" spans="2:9" x14ac:dyDescent="0.3">
      <c r="B101" s="44">
        <v>4380403</v>
      </c>
      <c r="C101" s="41" t="s">
        <v>276</v>
      </c>
      <c r="D101" s="49">
        <v>7558</v>
      </c>
      <c r="E101" s="44">
        <v>3236827560</v>
      </c>
      <c r="F101" s="60">
        <v>45580</v>
      </c>
      <c r="G101" s="71">
        <v>45593</v>
      </c>
      <c r="H101" s="71">
        <v>45611</v>
      </c>
      <c r="I101" s="57" t="str">
        <f>IFERROR(#REF!+#REF!,"")</f>
        <v/>
      </c>
    </row>
    <row r="102" spans="2:9" x14ac:dyDescent="0.3">
      <c r="B102" s="44">
        <v>43624356</v>
      </c>
      <c r="C102" s="41" t="s">
        <v>277</v>
      </c>
      <c r="D102" s="49">
        <v>7559</v>
      </c>
      <c r="E102" s="44">
        <v>3012547706</v>
      </c>
      <c r="F102" s="60">
        <v>45580</v>
      </c>
      <c r="G102" s="71">
        <v>45593</v>
      </c>
      <c r="H102" s="71">
        <v>45611</v>
      </c>
      <c r="I102" s="57" t="str">
        <f>IFERROR(#REF!+#REF!,"")</f>
        <v/>
      </c>
    </row>
    <row r="103" spans="2:9" x14ac:dyDescent="0.3">
      <c r="B103" s="44">
        <v>1017137958</v>
      </c>
      <c r="C103" s="41" t="s">
        <v>279</v>
      </c>
      <c r="D103" s="49">
        <v>7560</v>
      </c>
      <c r="E103" s="44">
        <v>3017900256</v>
      </c>
      <c r="F103" s="60">
        <v>45580</v>
      </c>
      <c r="G103" s="71">
        <v>45593</v>
      </c>
      <c r="H103" s="71">
        <v>45638</v>
      </c>
      <c r="I103" s="57" t="str">
        <f>IFERROR(#REF!+#REF!,"")</f>
        <v/>
      </c>
    </row>
    <row r="104" spans="2:9" x14ac:dyDescent="0.3">
      <c r="B104" s="44">
        <v>1035913725</v>
      </c>
      <c r="C104" s="41" t="s">
        <v>284</v>
      </c>
      <c r="D104" s="49">
        <v>7561</v>
      </c>
      <c r="E104" s="44">
        <v>3216757839</v>
      </c>
      <c r="F104" s="60">
        <v>45580</v>
      </c>
      <c r="G104" s="71">
        <v>45593</v>
      </c>
      <c r="H104" s="71">
        <v>45638</v>
      </c>
      <c r="I104" s="57" t="str">
        <f>IFERROR(#REF!+#REF!,"")</f>
        <v/>
      </c>
    </row>
    <row r="105" spans="2:9" x14ac:dyDescent="0.3">
      <c r="B105" s="44">
        <v>1001651966</v>
      </c>
      <c r="C105" s="41" t="s">
        <v>288</v>
      </c>
      <c r="D105" s="49">
        <v>7562</v>
      </c>
      <c r="E105" s="44">
        <v>3003182336</v>
      </c>
      <c r="F105" s="60">
        <v>45580</v>
      </c>
      <c r="G105" s="71">
        <v>45593</v>
      </c>
      <c r="H105" s="71">
        <v>45630</v>
      </c>
      <c r="I105" s="57" t="str">
        <f>IFERROR(#REF!+#REF!,"")</f>
        <v/>
      </c>
    </row>
    <row r="106" spans="2:9" x14ac:dyDescent="0.3">
      <c r="B106" s="44">
        <v>1036252442</v>
      </c>
      <c r="C106" s="89" t="s">
        <v>292</v>
      </c>
      <c r="D106" s="49">
        <v>7564</v>
      </c>
      <c r="E106" s="44">
        <v>3005532686</v>
      </c>
      <c r="F106" s="60">
        <v>45580</v>
      </c>
      <c r="G106" s="71">
        <v>45593</v>
      </c>
      <c r="H106" s="71">
        <v>45630</v>
      </c>
      <c r="I106" s="57" t="str">
        <f>IFERROR(#REF!+#REF!,"")</f>
        <v/>
      </c>
    </row>
    <row r="107" spans="2:9" x14ac:dyDescent="0.3">
      <c r="B107" s="44">
        <v>71748038</v>
      </c>
      <c r="C107" s="41" t="s">
        <v>295</v>
      </c>
      <c r="D107" s="49">
        <v>7652</v>
      </c>
      <c r="E107" s="44">
        <v>3017314937</v>
      </c>
      <c r="F107" s="60">
        <v>45582</v>
      </c>
      <c r="G107" s="71">
        <v>45593</v>
      </c>
      <c r="H107" s="71">
        <v>45611</v>
      </c>
      <c r="I107" s="57" t="str">
        <f>IFERROR(#REF!+#REF!,"")</f>
        <v/>
      </c>
    </row>
    <row r="108" spans="2:9" x14ac:dyDescent="0.3">
      <c r="B108" s="44">
        <v>71748038</v>
      </c>
      <c r="C108" s="41" t="s">
        <v>295</v>
      </c>
      <c r="D108" s="49">
        <v>7653</v>
      </c>
      <c r="E108" s="44">
        <v>3017314937</v>
      </c>
      <c r="F108" s="60">
        <v>45582</v>
      </c>
      <c r="G108" s="71">
        <v>45593</v>
      </c>
      <c r="H108" s="71">
        <v>45630</v>
      </c>
      <c r="I108" s="57" t="str">
        <f>IFERROR(#REF!+#REF!,"")</f>
        <v/>
      </c>
    </row>
    <row r="109" spans="2:9" x14ac:dyDescent="0.3">
      <c r="B109" s="44">
        <v>1035973354</v>
      </c>
      <c r="C109" s="41" t="s">
        <v>266</v>
      </c>
      <c r="D109" s="49">
        <v>7689</v>
      </c>
      <c r="E109" s="44">
        <v>3195902414</v>
      </c>
      <c r="F109" s="60">
        <v>45583</v>
      </c>
      <c r="G109" s="71">
        <v>45593</v>
      </c>
      <c r="H109" s="71">
        <v>45611</v>
      </c>
      <c r="I109" s="57" t="str">
        <f>IFERROR(#REF!+#REF!,"")</f>
        <v/>
      </c>
    </row>
    <row r="110" spans="2:9" x14ac:dyDescent="0.3">
      <c r="B110" s="44">
        <v>1015276553</v>
      </c>
      <c r="C110" s="41" t="s">
        <v>456</v>
      </c>
      <c r="D110" s="49">
        <v>7758</v>
      </c>
      <c r="E110" s="44">
        <v>3005345128</v>
      </c>
      <c r="F110" s="60">
        <v>45587</v>
      </c>
      <c r="G110" s="71">
        <v>45611</v>
      </c>
      <c r="H110" s="71">
        <v>45630</v>
      </c>
      <c r="I110" s="57" t="str">
        <f>IFERROR(#REF!+#REF!,"")</f>
        <v/>
      </c>
    </row>
    <row r="111" spans="2:9" x14ac:dyDescent="0.3">
      <c r="B111" s="44">
        <v>1110570952</v>
      </c>
      <c r="C111" s="41" t="s">
        <v>457</v>
      </c>
      <c r="D111" s="49">
        <v>7759</v>
      </c>
      <c r="E111" s="44">
        <v>3103328757</v>
      </c>
      <c r="F111" s="60">
        <v>45587</v>
      </c>
      <c r="G111" s="71">
        <v>45611</v>
      </c>
      <c r="H111" s="71">
        <v>45611</v>
      </c>
      <c r="I111" s="57" t="str">
        <f>IFERROR(#REF!+#REF!,"")</f>
        <v/>
      </c>
    </row>
    <row r="112" spans="2:9" x14ac:dyDescent="0.3">
      <c r="B112" s="44">
        <v>1110570952</v>
      </c>
      <c r="C112" s="41" t="s">
        <v>457</v>
      </c>
      <c r="D112" s="49">
        <v>7760</v>
      </c>
      <c r="E112" s="44">
        <v>3103328757</v>
      </c>
      <c r="F112" s="60">
        <v>45587</v>
      </c>
      <c r="G112" s="71">
        <v>45611</v>
      </c>
      <c r="H112" s="71">
        <v>45611</v>
      </c>
      <c r="I112" s="57" t="str">
        <f>IFERROR(#REF!+#REF!,"")</f>
        <v/>
      </c>
    </row>
    <row r="113" spans="2:9" x14ac:dyDescent="0.3">
      <c r="B113" s="44">
        <v>8356286</v>
      </c>
      <c r="C113" s="41" t="s">
        <v>302</v>
      </c>
      <c r="D113" s="49">
        <v>7761</v>
      </c>
      <c r="E113" s="44">
        <v>3003371632</v>
      </c>
      <c r="F113" s="60">
        <v>45587</v>
      </c>
      <c r="G113" s="71">
        <v>45611</v>
      </c>
      <c r="H113" s="71">
        <v>45630</v>
      </c>
      <c r="I113" s="57" t="str">
        <f>IFERROR(#REF!+#REF!,"")</f>
        <v/>
      </c>
    </row>
    <row r="114" spans="2:9" x14ac:dyDescent="0.3">
      <c r="B114" s="44">
        <v>8356286</v>
      </c>
      <c r="C114" s="41" t="s">
        <v>302</v>
      </c>
      <c r="D114" s="49">
        <v>7762</v>
      </c>
      <c r="E114" s="44">
        <v>3003371632</v>
      </c>
      <c r="F114" s="60">
        <v>45587</v>
      </c>
      <c r="G114" s="71">
        <v>45611</v>
      </c>
      <c r="H114" s="71">
        <v>45611</v>
      </c>
      <c r="I114" s="57" t="str">
        <f>IFERROR(#REF!+#REF!,"")</f>
        <v/>
      </c>
    </row>
    <row r="115" spans="2:9" x14ac:dyDescent="0.3">
      <c r="B115" s="44">
        <v>8356286</v>
      </c>
      <c r="C115" s="41" t="s">
        <v>302</v>
      </c>
      <c r="D115" s="49">
        <v>7763</v>
      </c>
      <c r="E115" s="44">
        <v>3003371632</v>
      </c>
      <c r="F115" s="60">
        <v>45587</v>
      </c>
      <c r="G115" s="71">
        <v>45611</v>
      </c>
      <c r="H115" s="71">
        <v>45611</v>
      </c>
      <c r="I115" s="57" t="str">
        <f>IFERROR(#REF!+#REF!,"")</f>
        <v/>
      </c>
    </row>
    <row r="116" spans="2:9" x14ac:dyDescent="0.3">
      <c r="B116" s="44">
        <v>71801338</v>
      </c>
      <c r="C116" s="41" t="s">
        <v>209</v>
      </c>
      <c r="D116" s="49">
        <v>7775</v>
      </c>
      <c r="E116" s="44">
        <v>3023318827</v>
      </c>
      <c r="F116" s="60">
        <v>45587</v>
      </c>
      <c r="G116" s="71">
        <v>45611</v>
      </c>
      <c r="H116" s="71">
        <v>45611</v>
      </c>
      <c r="I116" s="57" t="str">
        <f>IFERROR(#REF!+#REF!,"")</f>
        <v/>
      </c>
    </row>
    <row r="117" spans="2:9" x14ac:dyDescent="0.3">
      <c r="B117" s="44">
        <v>71712784</v>
      </c>
      <c r="C117" s="41" t="s">
        <v>307</v>
      </c>
      <c r="D117" s="49">
        <v>7921</v>
      </c>
      <c r="E117" s="44">
        <v>3045761405</v>
      </c>
      <c r="F117" s="60">
        <v>45593</v>
      </c>
      <c r="G117" s="71">
        <v>45611</v>
      </c>
      <c r="H117" s="71">
        <v>45611</v>
      </c>
      <c r="I117" s="57" t="str">
        <f>IFERROR(#REF!+#REF!,"")</f>
        <v/>
      </c>
    </row>
    <row r="118" spans="2:9" x14ac:dyDescent="0.3">
      <c r="B118" s="44">
        <v>8773558</v>
      </c>
      <c r="C118" s="41" t="s">
        <v>308</v>
      </c>
      <c r="D118" s="49">
        <v>7988</v>
      </c>
      <c r="E118" s="44">
        <v>3104320227</v>
      </c>
      <c r="F118" s="60">
        <v>45595</v>
      </c>
      <c r="G118" s="71">
        <v>45614</v>
      </c>
      <c r="H118" s="71">
        <v>45630</v>
      </c>
      <c r="I118" s="57" t="str">
        <f>IFERROR(#REF!+#REF!,"")</f>
        <v/>
      </c>
    </row>
    <row r="119" spans="2:9" x14ac:dyDescent="0.3">
      <c r="B119" s="44">
        <v>71365644</v>
      </c>
      <c r="C119" s="41" t="s">
        <v>221</v>
      </c>
      <c r="D119" s="49">
        <v>7456</v>
      </c>
      <c r="E119" s="44">
        <v>3137622520</v>
      </c>
      <c r="F119" s="60">
        <v>45576</v>
      </c>
      <c r="G119" s="71">
        <v>45614</v>
      </c>
      <c r="H119" s="71">
        <v>45616</v>
      </c>
      <c r="I119" s="57" t="str">
        <f>IFERROR(#REF!+#REF!,"")</f>
        <v/>
      </c>
    </row>
    <row r="120" spans="2:9" x14ac:dyDescent="0.3">
      <c r="B120" s="44">
        <v>41942365</v>
      </c>
      <c r="C120" s="41" t="s">
        <v>296</v>
      </c>
      <c r="D120" s="49">
        <v>7990</v>
      </c>
      <c r="E120" s="44">
        <v>3206646656</v>
      </c>
      <c r="F120" s="60">
        <v>45595</v>
      </c>
      <c r="G120" s="71">
        <v>45614</v>
      </c>
      <c r="H120" s="71">
        <v>45630</v>
      </c>
      <c r="I120" s="57" t="str">
        <f>IFERROR(#REF!+#REF!,"")</f>
        <v/>
      </c>
    </row>
    <row r="121" spans="2:9" x14ac:dyDescent="0.3">
      <c r="B121" s="44">
        <v>1037590254</v>
      </c>
      <c r="C121" s="41" t="s">
        <v>318</v>
      </c>
      <c r="D121" s="49">
        <v>7991</v>
      </c>
      <c r="E121" s="44">
        <v>3232240780</v>
      </c>
      <c r="F121" s="60">
        <v>45595</v>
      </c>
      <c r="G121" s="71">
        <v>45611</v>
      </c>
      <c r="H121" s="71">
        <v>45630</v>
      </c>
      <c r="I121" s="57" t="str">
        <f>IFERROR(#REF!+#REF!,"")</f>
        <v/>
      </c>
    </row>
    <row r="122" spans="2:9" x14ac:dyDescent="0.3">
      <c r="B122" s="44">
        <v>71365644</v>
      </c>
      <c r="C122" s="41" t="s">
        <v>221</v>
      </c>
      <c r="D122" s="49">
        <v>7457</v>
      </c>
      <c r="E122" s="44">
        <v>3137622520</v>
      </c>
      <c r="F122" s="60">
        <v>45576</v>
      </c>
      <c r="G122" s="71">
        <v>45614</v>
      </c>
      <c r="H122" s="71">
        <v>45616</v>
      </c>
      <c r="I122" s="57" t="str">
        <f>IFERROR(#REF!+#REF!,"")</f>
        <v/>
      </c>
    </row>
    <row r="123" spans="2:9" x14ac:dyDescent="0.3">
      <c r="B123" s="44">
        <v>41492365</v>
      </c>
      <c r="C123" s="41" t="s">
        <v>296</v>
      </c>
      <c r="D123" s="49">
        <v>7993</v>
      </c>
      <c r="E123" s="44">
        <v>3206646656</v>
      </c>
      <c r="F123" s="60">
        <v>45595</v>
      </c>
      <c r="G123" s="71">
        <v>45614</v>
      </c>
      <c r="H123" s="71">
        <v>45630</v>
      </c>
      <c r="I123" s="57" t="str">
        <f>IFERROR(#REF!+#REF!,"")</f>
        <v/>
      </c>
    </row>
    <row r="124" spans="2:9" x14ac:dyDescent="0.3">
      <c r="B124" s="44">
        <v>71365644</v>
      </c>
      <c r="C124" s="41" t="s">
        <v>221</v>
      </c>
      <c r="D124" s="49">
        <v>7458</v>
      </c>
      <c r="E124" s="44">
        <v>3137622520</v>
      </c>
      <c r="F124" s="60">
        <v>45576</v>
      </c>
      <c r="G124" s="71">
        <v>45614</v>
      </c>
      <c r="H124" s="71">
        <v>45616</v>
      </c>
      <c r="I124" s="57" t="str">
        <f>IFERROR(#REF!+#REF!,"")</f>
        <v/>
      </c>
    </row>
    <row r="125" spans="2:9" x14ac:dyDescent="0.3">
      <c r="B125" s="44">
        <v>1193138307</v>
      </c>
      <c r="C125" s="41" t="s">
        <v>222</v>
      </c>
      <c r="D125" s="49">
        <v>7459</v>
      </c>
      <c r="E125" s="44">
        <v>3043796045</v>
      </c>
      <c r="F125" s="60">
        <v>45576</v>
      </c>
      <c r="G125" s="71">
        <v>45583</v>
      </c>
      <c r="H125" s="71">
        <v>45616</v>
      </c>
      <c r="I125" s="57" t="str">
        <f>IFERROR(#REF!+#REF!,"")</f>
        <v/>
      </c>
    </row>
    <row r="126" spans="2:9" x14ac:dyDescent="0.3">
      <c r="B126" s="44">
        <v>1035915507</v>
      </c>
      <c r="C126" s="41" t="s">
        <v>223</v>
      </c>
      <c r="D126" s="49">
        <v>7460</v>
      </c>
      <c r="E126" s="44">
        <v>3107007244</v>
      </c>
      <c r="F126" s="60">
        <v>45576</v>
      </c>
      <c r="G126" s="71">
        <v>45583</v>
      </c>
      <c r="H126" s="71">
        <v>45616</v>
      </c>
      <c r="I126" s="57" t="str">
        <f>IFERROR(#REF!+#REF!,"")</f>
        <v/>
      </c>
    </row>
    <row r="127" spans="2:9" x14ac:dyDescent="0.3">
      <c r="B127" s="44">
        <v>41942365</v>
      </c>
      <c r="C127" s="41" t="s">
        <v>296</v>
      </c>
      <c r="D127" s="49">
        <v>8056</v>
      </c>
      <c r="E127" s="44">
        <v>3206646656</v>
      </c>
      <c r="F127" s="60">
        <v>45597</v>
      </c>
      <c r="G127" s="71">
        <v>45614</v>
      </c>
      <c r="H127" s="71">
        <v>45630</v>
      </c>
      <c r="I127" s="57" t="str">
        <f>IFERROR(#REF!+#REF!,"")</f>
        <v/>
      </c>
    </row>
    <row r="128" spans="2:9" x14ac:dyDescent="0.3">
      <c r="B128" s="44">
        <v>41942365</v>
      </c>
      <c r="C128" s="41" t="s">
        <v>296</v>
      </c>
      <c r="D128" s="49">
        <v>8057</v>
      </c>
      <c r="E128" s="44">
        <v>3206646656</v>
      </c>
      <c r="F128" s="60">
        <v>45597</v>
      </c>
      <c r="G128" s="71">
        <v>45614</v>
      </c>
      <c r="H128" s="71">
        <v>45630</v>
      </c>
      <c r="I128" s="57" t="str">
        <f>IFERROR(#REF!+#REF!,"")</f>
        <v/>
      </c>
    </row>
    <row r="129" spans="2:9" x14ac:dyDescent="0.3">
      <c r="B129" s="44">
        <v>75080238</v>
      </c>
      <c r="C129" s="41" t="s">
        <v>338</v>
      </c>
      <c r="D129" s="49">
        <v>8058</v>
      </c>
      <c r="E129" s="44">
        <v>3042370000</v>
      </c>
      <c r="F129" s="60">
        <v>45597</v>
      </c>
      <c r="G129" s="71">
        <v>45614</v>
      </c>
      <c r="H129" s="71">
        <v>45630</v>
      </c>
      <c r="I129" s="57" t="str">
        <f>IFERROR(#REF!+#REF!,"")</f>
        <v/>
      </c>
    </row>
    <row r="130" spans="2:9" x14ac:dyDescent="0.3">
      <c r="B130" s="44">
        <v>1037607312</v>
      </c>
      <c r="C130" s="41" t="s">
        <v>225</v>
      </c>
      <c r="D130" s="49">
        <v>7461</v>
      </c>
      <c r="E130" s="44">
        <v>3024630234</v>
      </c>
      <c r="F130" s="60">
        <v>45576</v>
      </c>
      <c r="G130" s="71">
        <v>45583</v>
      </c>
      <c r="H130" s="71">
        <v>45616</v>
      </c>
      <c r="I130" s="57" t="str">
        <f>IFERROR(#REF!+#REF!,"")</f>
        <v/>
      </c>
    </row>
    <row r="131" spans="2:9" x14ac:dyDescent="0.3">
      <c r="B131" s="44">
        <v>1026132871</v>
      </c>
      <c r="C131" s="41" t="s">
        <v>93</v>
      </c>
      <c r="D131" s="49">
        <v>8060</v>
      </c>
      <c r="E131" s="44">
        <v>3115315360</v>
      </c>
      <c r="F131" s="60">
        <v>45597</v>
      </c>
      <c r="G131" s="71">
        <v>45614</v>
      </c>
      <c r="H131" s="71">
        <v>45630</v>
      </c>
      <c r="I131" s="57" t="str">
        <f>IFERROR(#REF!+#REF!,"")</f>
        <v/>
      </c>
    </row>
    <row r="132" spans="2:9" x14ac:dyDescent="0.3">
      <c r="B132" s="44">
        <v>43990602</v>
      </c>
      <c r="C132" s="41" t="s">
        <v>346</v>
      </c>
      <c r="D132" s="49">
        <v>8061</v>
      </c>
      <c r="E132" s="44">
        <v>3177021338</v>
      </c>
      <c r="F132" s="60">
        <v>45597</v>
      </c>
      <c r="G132" s="71">
        <v>45611</v>
      </c>
      <c r="H132" s="71">
        <v>45638</v>
      </c>
      <c r="I132" s="57" t="str">
        <f>IFERROR(#REF!+#REF!,"")</f>
        <v/>
      </c>
    </row>
    <row r="133" spans="2:9" x14ac:dyDescent="0.3">
      <c r="B133" s="44">
        <v>1001029657</v>
      </c>
      <c r="C133" s="41" t="s">
        <v>226</v>
      </c>
      <c r="D133" s="49">
        <v>7462</v>
      </c>
      <c r="E133" s="44">
        <v>3148854210</v>
      </c>
      <c r="F133" s="60">
        <v>45576</v>
      </c>
      <c r="G133" s="71">
        <v>45583</v>
      </c>
      <c r="H133" s="71">
        <v>45616</v>
      </c>
      <c r="I133" s="57" t="str">
        <f>IFERROR(#REF!+#REF!,"")</f>
        <v/>
      </c>
    </row>
    <row r="134" spans="2:9" x14ac:dyDescent="0.3">
      <c r="B134" s="44">
        <v>41492365</v>
      </c>
      <c r="C134" s="41" t="s">
        <v>296</v>
      </c>
      <c r="D134" s="49">
        <v>8063</v>
      </c>
      <c r="E134" s="44">
        <v>3206646656</v>
      </c>
      <c r="F134" s="60">
        <v>45597</v>
      </c>
      <c r="G134" s="71">
        <v>45614</v>
      </c>
      <c r="H134" s="71">
        <v>45630</v>
      </c>
      <c r="I134" s="57" t="str">
        <f>IFERROR(#REF!+#REF!,"")</f>
        <v/>
      </c>
    </row>
    <row r="135" spans="2:9" x14ac:dyDescent="0.3">
      <c r="B135" s="44">
        <v>41492365</v>
      </c>
      <c r="C135" s="41" t="s">
        <v>296</v>
      </c>
      <c r="D135" s="49">
        <v>8064</v>
      </c>
      <c r="E135" s="44">
        <v>3206646656</v>
      </c>
      <c r="F135" s="60">
        <v>45597</v>
      </c>
      <c r="G135" s="71">
        <v>45614</v>
      </c>
      <c r="H135" s="71">
        <v>45630</v>
      </c>
      <c r="I135" s="57" t="str">
        <f>IFERROR(#REF!+#REF!,"")</f>
        <v/>
      </c>
    </row>
    <row r="136" spans="2:9" x14ac:dyDescent="0.3">
      <c r="B136" s="44">
        <v>1001415647</v>
      </c>
      <c r="C136" s="41" t="s">
        <v>88</v>
      </c>
      <c r="D136" s="49">
        <v>7426</v>
      </c>
      <c r="E136" s="44">
        <v>3145713432</v>
      </c>
      <c r="F136" s="60">
        <v>45575</v>
      </c>
      <c r="G136" s="71">
        <v>45580</v>
      </c>
      <c r="H136" s="71">
        <v>45616</v>
      </c>
      <c r="I136" s="57" t="str">
        <f>IFERROR(#REF!+#REF!,"")</f>
        <v/>
      </c>
    </row>
    <row r="137" spans="2:9" x14ac:dyDescent="0.3">
      <c r="B137" s="44">
        <v>1001415647</v>
      </c>
      <c r="C137" s="41" t="s">
        <v>88</v>
      </c>
      <c r="D137" s="49">
        <v>7427</v>
      </c>
      <c r="E137" s="44">
        <v>3145713432</v>
      </c>
      <c r="F137" s="60">
        <v>45575</v>
      </c>
      <c r="G137" s="71">
        <v>45580</v>
      </c>
      <c r="H137" s="71">
        <v>45616</v>
      </c>
      <c r="I137" s="57" t="str">
        <f>IFERROR(#REF!+#REF!,"")</f>
        <v/>
      </c>
    </row>
    <row r="138" spans="2:9" x14ac:dyDescent="0.3">
      <c r="B138" s="44">
        <v>1015276535</v>
      </c>
      <c r="C138" s="41" t="s">
        <v>207</v>
      </c>
      <c r="D138" s="49">
        <v>7429</v>
      </c>
      <c r="E138" s="44">
        <v>3005345128</v>
      </c>
      <c r="F138" s="60">
        <v>45575</v>
      </c>
      <c r="G138" s="71">
        <v>45581</v>
      </c>
      <c r="H138" s="71">
        <v>45616</v>
      </c>
      <c r="I138" s="57" t="str">
        <f>IFERROR(#REF!+#REF!,"")</f>
        <v/>
      </c>
    </row>
    <row r="139" spans="2:9" x14ac:dyDescent="0.3">
      <c r="B139" s="44">
        <v>43990602</v>
      </c>
      <c r="C139" s="41" t="s">
        <v>346</v>
      </c>
      <c r="D139" s="49">
        <v>8069</v>
      </c>
      <c r="E139" s="44">
        <v>3177021338</v>
      </c>
      <c r="F139" s="60">
        <v>45597</v>
      </c>
      <c r="G139" s="71">
        <v>45611</v>
      </c>
      <c r="H139" s="71">
        <v>45638</v>
      </c>
      <c r="I139" s="57" t="str">
        <f>IFERROR(#REF!+#REF!,"")</f>
        <v/>
      </c>
    </row>
    <row r="140" spans="2:9" x14ac:dyDescent="0.3">
      <c r="B140" s="44">
        <v>1065659658</v>
      </c>
      <c r="C140" s="59" t="s">
        <v>157</v>
      </c>
      <c r="D140" s="49">
        <v>7430</v>
      </c>
      <c r="E140" s="44">
        <v>3114065409</v>
      </c>
      <c r="F140" s="60">
        <v>45575</v>
      </c>
      <c r="G140" s="71">
        <v>45581</v>
      </c>
      <c r="H140" s="71">
        <v>45616</v>
      </c>
      <c r="I140" s="57" t="str">
        <f>IFERROR(#REF!+#REF!,"")</f>
        <v/>
      </c>
    </row>
    <row r="141" spans="2:9" x14ac:dyDescent="0.3">
      <c r="B141" s="44">
        <v>1035912149</v>
      </c>
      <c r="C141" s="41" t="s">
        <v>220</v>
      </c>
      <c r="D141" s="49">
        <v>7454</v>
      </c>
      <c r="E141" s="44">
        <v>3217140279</v>
      </c>
      <c r="F141" s="60">
        <v>45575</v>
      </c>
      <c r="G141" s="71">
        <v>45614</v>
      </c>
      <c r="H141" s="71">
        <v>45616</v>
      </c>
      <c r="I141" s="57" t="str">
        <f>IFERROR(#REF!+#REF!,"")</f>
        <v/>
      </c>
    </row>
    <row r="142" spans="2:9" x14ac:dyDescent="0.3">
      <c r="B142" s="64">
        <v>1128479264</v>
      </c>
      <c r="C142" s="65" t="s">
        <v>146</v>
      </c>
      <c r="D142" s="49">
        <v>7324</v>
      </c>
      <c r="E142" s="44">
        <v>3163137199</v>
      </c>
      <c r="F142" s="60">
        <v>45573</v>
      </c>
      <c r="G142" s="71">
        <v>45580</v>
      </c>
      <c r="H142" s="71">
        <v>45616</v>
      </c>
      <c r="I142" s="57" t="str">
        <f>IFERROR(#REF!+#REF!,"")</f>
        <v/>
      </c>
    </row>
    <row r="143" spans="2:9" x14ac:dyDescent="0.3">
      <c r="B143" s="44">
        <v>75080238</v>
      </c>
      <c r="C143" s="41" t="s">
        <v>338</v>
      </c>
      <c r="D143" s="49">
        <v>8232</v>
      </c>
      <c r="E143" s="44">
        <v>3042370000</v>
      </c>
      <c r="F143" s="60">
        <v>45603</v>
      </c>
      <c r="G143" s="71">
        <v>45614</v>
      </c>
      <c r="H143" s="71">
        <v>45630</v>
      </c>
      <c r="I143" s="57" t="str">
        <f>IFERROR(#REF!+#REF!,"")</f>
        <v/>
      </c>
    </row>
    <row r="144" spans="2:9" x14ac:dyDescent="0.3">
      <c r="B144" s="47">
        <v>4116903</v>
      </c>
      <c r="C144" s="48" t="s">
        <v>125</v>
      </c>
      <c r="D144" s="49">
        <v>8392</v>
      </c>
      <c r="E144" s="44">
        <v>3216093921</v>
      </c>
      <c r="F144" s="60">
        <v>45610</v>
      </c>
      <c r="G144" s="71">
        <v>45614</v>
      </c>
      <c r="H144" s="71">
        <v>45720</v>
      </c>
      <c r="I144" s="57" t="str">
        <f>IFERROR(#REF!+#REF!,"")</f>
        <v/>
      </c>
    </row>
    <row r="145" spans="2:9" x14ac:dyDescent="0.3">
      <c r="B145" s="64">
        <v>1128479264</v>
      </c>
      <c r="C145" s="48" t="s">
        <v>146</v>
      </c>
      <c r="D145" s="49">
        <v>8961</v>
      </c>
      <c r="E145" s="44">
        <v>3163137199</v>
      </c>
      <c r="F145" s="60">
        <v>45629</v>
      </c>
      <c r="G145" s="71">
        <v>45631</v>
      </c>
      <c r="H145" s="71">
        <v>45631</v>
      </c>
      <c r="I145" s="57" t="str">
        <f>IFERROR(#REF!+#REF!,"")</f>
        <v/>
      </c>
    </row>
    <row r="146" spans="2:9" x14ac:dyDescent="0.3">
      <c r="B146" s="64">
        <v>1128479264</v>
      </c>
      <c r="C146" s="48" t="s">
        <v>146</v>
      </c>
      <c r="D146" s="49">
        <v>8962</v>
      </c>
      <c r="E146" s="44">
        <v>3163137199</v>
      </c>
      <c r="F146" s="60">
        <v>45629</v>
      </c>
      <c r="G146" s="71">
        <v>45631</v>
      </c>
      <c r="H146" s="71">
        <v>45631</v>
      </c>
      <c r="I146" s="57" t="str">
        <f>IFERROR(#REF!+#REF!,"")</f>
        <v/>
      </c>
    </row>
    <row r="147" spans="2:9" x14ac:dyDescent="0.3">
      <c r="B147" s="47">
        <v>71213380</v>
      </c>
      <c r="C147" s="48" t="s">
        <v>375</v>
      </c>
      <c r="D147" s="49">
        <v>8963</v>
      </c>
      <c r="E147" s="44">
        <v>3017829349</v>
      </c>
      <c r="F147" s="60">
        <v>45629</v>
      </c>
      <c r="G147" s="71">
        <v>45631</v>
      </c>
      <c r="H147" s="71">
        <v>45631</v>
      </c>
      <c r="I147" s="57" t="str">
        <f>IFERROR(#REF!+#REF!,"")</f>
        <v/>
      </c>
    </row>
    <row r="148" spans="2:9" x14ac:dyDescent="0.3">
      <c r="B148" s="47">
        <v>1033486519</v>
      </c>
      <c r="C148" s="48" t="s">
        <v>378</v>
      </c>
      <c r="D148" s="49">
        <v>8964</v>
      </c>
      <c r="E148" s="44">
        <v>3008516283</v>
      </c>
      <c r="F148" s="60">
        <v>45629</v>
      </c>
      <c r="G148" s="71">
        <v>45631</v>
      </c>
      <c r="H148" s="71">
        <v>45720</v>
      </c>
      <c r="I148" s="57" t="str">
        <f>IFERROR(#REF!+#REF!,"")</f>
        <v/>
      </c>
    </row>
    <row r="149" spans="2:9" x14ac:dyDescent="0.3">
      <c r="B149" s="47">
        <v>1033486519</v>
      </c>
      <c r="C149" s="48" t="s">
        <v>378</v>
      </c>
      <c r="D149" s="49">
        <v>8965</v>
      </c>
      <c r="E149" s="44">
        <v>3008516283</v>
      </c>
      <c r="F149" s="60">
        <v>45629</v>
      </c>
      <c r="G149" s="71">
        <v>45631</v>
      </c>
      <c r="H149" s="71">
        <v>45720</v>
      </c>
      <c r="I149" s="57" t="str">
        <f>IFERROR(#REF!+#REF!,"")</f>
        <v/>
      </c>
    </row>
    <row r="150" spans="2:9" x14ac:dyDescent="0.3">
      <c r="B150" s="47">
        <v>1033486519</v>
      </c>
      <c r="C150" s="48" t="s">
        <v>378</v>
      </c>
      <c r="D150" s="49">
        <v>8966</v>
      </c>
      <c r="E150" s="44">
        <v>3008516283</v>
      </c>
      <c r="F150" s="60">
        <v>45629</v>
      </c>
      <c r="G150" s="71">
        <v>45631</v>
      </c>
      <c r="H150" s="71">
        <v>45631</v>
      </c>
      <c r="I150" s="57" t="str">
        <f>IFERROR(#REF!+#REF!,"")</f>
        <v/>
      </c>
    </row>
    <row r="151" spans="2:9" x14ac:dyDescent="0.3">
      <c r="B151" s="47">
        <v>1033486519</v>
      </c>
      <c r="C151" s="48" t="s">
        <v>378</v>
      </c>
      <c r="D151" s="49">
        <v>8967</v>
      </c>
      <c r="E151" s="44">
        <v>3008516283</v>
      </c>
      <c r="F151" s="60">
        <v>45629</v>
      </c>
      <c r="G151" s="71">
        <v>45631</v>
      </c>
      <c r="H151" s="71">
        <v>45720</v>
      </c>
      <c r="I151" s="57" t="str">
        <f>IFERROR(#REF!+#REF!,"")</f>
        <v/>
      </c>
    </row>
    <row r="152" spans="2:9" x14ac:dyDescent="0.3">
      <c r="B152" s="47">
        <v>1033486519</v>
      </c>
      <c r="C152" s="48" t="s">
        <v>378</v>
      </c>
      <c r="D152" s="49">
        <v>8969</v>
      </c>
      <c r="E152" s="44">
        <v>3008516283</v>
      </c>
      <c r="F152" s="60">
        <v>45629</v>
      </c>
      <c r="G152" s="71">
        <v>45631</v>
      </c>
      <c r="H152" s="71">
        <v>45720</v>
      </c>
      <c r="I152" s="57" t="str">
        <f>IFERROR(#REF!+#REF!,"")</f>
        <v/>
      </c>
    </row>
    <row r="153" spans="2:9" x14ac:dyDescent="0.3">
      <c r="B153" s="47">
        <v>1037572152</v>
      </c>
      <c r="C153" s="48" t="s">
        <v>58</v>
      </c>
      <c r="D153" s="49">
        <v>8970</v>
      </c>
      <c r="E153" s="44">
        <v>3045241530</v>
      </c>
      <c r="F153" s="60">
        <v>45629</v>
      </c>
      <c r="G153" s="71">
        <v>45631</v>
      </c>
      <c r="H153" s="71">
        <v>45720</v>
      </c>
      <c r="I153" s="57" t="str">
        <f>IFERROR(#REF!+#REF!,"")</f>
        <v/>
      </c>
    </row>
    <row r="154" spans="2:9" x14ac:dyDescent="0.3">
      <c r="B154" s="47">
        <v>1037572152</v>
      </c>
      <c r="C154" s="48" t="s">
        <v>58</v>
      </c>
      <c r="D154" s="49">
        <v>8971</v>
      </c>
      <c r="E154" s="44">
        <v>3045241530</v>
      </c>
      <c r="F154" s="60">
        <v>45629</v>
      </c>
      <c r="G154" s="71">
        <v>45631</v>
      </c>
      <c r="H154" s="71">
        <v>45720</v>
      </c>
      <c r="I154" s="57" t="str">
        <f>IFERROR(#REF!+#REF!,"")</f>
        <v/>
      </c>
    </row>
    <row r="155" spans="2:9" x14ac:dyDescent="0.3">
      <c r="B155" s="47">
        <v>1037572152</v>
      </c>
      <c r="C155" s="48" t="s">
        <v>58</v>
      </c>
      <c r="D155" s="49">
        <v>8972</v>
      </c>
      <c r="E155" s="44">
        <v>3045241530</v>
      </c>
      <c r="F155" s="60">
        <v>45629</v>
      </c>
      <c r="G155" s="71">
        <v>45631</v>
      </c>
      <c r="H155" s="71">
        <v>45631</v>
      </c>
      <c r="I155" s="57" t="str">
        <f>IFERROR(#REF!+#REF!,"")</f>
        <v/>
      </c>
    </row>
    <row r="156" spans="2:9" x14ac:dyDescent="0.3">
      <c r="B156" s="47">
        <v>1037572152</v>
      </c>
      <c r="C156" s="48" t="s">
        <v>58</v>
      </c>
      <c r="D156" s="49">
        <v>8973</v>
      </c>
      <c r="E156" s="44">
        <v>3045241530</v>
      </c>
      <c r="F156" s="60">
        <v>45629</v>
      </c>
      <c r="G156" s="71">
        <v>45631</v>
      </c>
      <c r="H156" s="71">
        <v>45720</v>
      </c>
      <c r="I156" s="57" t="str">
        <f>IFERROR(#REF!+#REF!,"")</f>
        <v/>
      </c>
    </row>
    <row r="157" spans="2:9" x14ac:dyDescent="0.3">
      <c r="B157" s="47">
        <v>1037572152</v>
      </c>
      <c r="C157" s="48" t="s">
        <v>58</v>
      </c>
      <c r="D157" s="49">
        <v>8974</v>
      </c>
      <c r="E157" s="44">
        <v>3045241530</v>
      </c>
      <c r="F157" s="60">
        <v>45629</v>
      </c>
      <c r="G157" s="71">
        <v>45631</v>
      </c>
      <c r="H157" s="71">
        <v>45671</v>
      </c>
      <c r="I157" s="57" t="str">
        <f>IFERROR(#REF!+#REF!,"")</f>
        <v/>
      </c>
    </row>
    <row r="158" spans="2:9" x14ac:dyDescent="0.3">
      <c r="B158" s="44">
        <v>1042467027</v>
      </c>
      <c r="C158" s="41" t="s">
        <v>392</v>
      </c>
      <c r="D158" s="49">
        <v>9029</v>
      </c>
      <c r="E158" s="44">
        <v>3017386504</v>
      </c>
      <c r="F158" s="60">
        <v>45630</v>
      </c>
      <c r="G158" s="71">
        <v>45646</v>
      </c>
      <c r="H158" s="71">
        <v>45671</v>
      </c>
      <c r="I158" s="57" t="str">
        <f>IFERROR(#REF!+#REF!,"")</f>
        <v/>
      </c>
    </row>
    <row r="159" spans="2:9" x14ac:dyDescent="0.3">
      <c r="B159" s="44">
        <v>71311035</v>
      </c>
      <c r="C159" s="41" t="s">
        <v>114</v>
      </c>
      <c r="D159" s="49">
        <v>9118</v>
      </c>
      <c r="E159" s="44">
        <v>3242145035</v>
      </c>
      <c r="F159" s="60">
        <v>45635</v>
      </c>
      <c r="G159" s="71">
        <v>45646</v>
      </c>
      <c r="H159" s="71">
        <v>45720</v>
      </c>
      <c r="I159" s="57" t="str">
        <f>IFERROR(#REF!+#REF!,"")</f>
        <v/>
      </c>
    </row>
    <row r="160" spans="2:9" x14ac:dyDescent="0.3">
      <c r="B160" s="64">
        <v>1128479264</v>
      </c>
      <c r="C160" s="48" t="s">
        <v>146</v>
      </c>
      <c r="D160" s="49">
        <v>9244</v>
      </c>
      <c r="E160" s="44">
        <v>3163137199</v>
      </c>
      <c r="F160" s="60">
        <v>45637</v>
      </c>
      <c r="G160" s="71">
        <v>45646</v>
      </c>
      <c r="H160" s="71">
        <v>45671</v>
      </c>
      <c r="I160" s="57" t="str">
        <f>IFERROR(#REF!+#REF!,"")</f>
        <v/>
      </c>
    </row>
    <row r="161" spans="2:9" x14ac:dyDescent="0.3">
      <c r="B161" s="44">
        <v>1020456282</v>
      </c>
      <c r="C161" s="41" t="s">
        <v>397</v>
      </c>
      <c r="D161" s="49">
        <v>9367</v>
      </c>
      <c r="E161" s="44">
        <v>3218735258</v>
      </c>
      <c r="F161" s="60">
        <v>45639</v>
      </c>
      <c r="G161" s="71">
        <v>45646</v>
      </c>
      <c r="H161" s="71">
        <v>45716</v>
      </c>
      <c r="I161" s="57" t="str">
        <f>IFERROR(#REF!+#REF!,"")</f>
        <v/>
      </c>
    </row>
    <row r="162" spans="2:9" x14ac:dyDescent="0.3">
      <c r="B162" s="44">
        <v>1214747832</v>
      </c>
      <c r="C162" s="41" t="s">
        <v>243</v>
      </c>
      <c r="D162" s="49">
        <v>9478</v>
      </c>
      <c r="E162" s="44">
        <v>3218499384</v>
      </c>
      <c r="F162" s="60">
        <v>45644</v>
      </c>
      <c r="G162" s="71">
        <v>45646</v>
      </c>
      <c r="H162" s="71">
        <v>45716</v>
      </c>
      <c r="I162" s="57" t="str">
        <f>IFERROR(#REF!+#REF!,"")</f>
        <v/>
      </c>
    </row>
    <row r="163" spans="2:9" x14ac:dyDescent="0.3">
      <c r="B163" s="44">
        <v>1001812262</v>
      </c>
      <c r="C163" s="41" t="s">
        <v>53</v>
      </c>
      <c r="D163" s="49">
        <v>501</v>
      </c>
      <c r="E163" s="44">
        <v>3218098350</v>
      </c>
      <c r="F163" s="60">
        <v>45674</v>
      </c>
      <c r="G163" s="71">
        <v>45674</v>
      </c>
      <c r="H163" s="71">
        <v>45716</v>
      </c>
      <c r="I163" s="57" t="str">
        <f>IFERROR(#REF!+#REF!,"")</f>
        <v/>
      </c>
    </row>
    <row r="164" spans="2:9" x14ac:dyDescent="0.3">
      <c r="B164" s="44">
        <v>59834499</v>
      </c>
      <c r="C164" s="41" t="s">
        <v>56</v>
      </c>
      <c r="D164" s="49">
        <v>502</v>
      </c>
      <c r="E164" s="44">
        <v>3006028506</v>
      </c>
      <c r="F164" s="60">
        <v>45674</v>
      </c>
      <c r="G164" s="71">
        <v>45674</v>
      </c>
      <c r="H164" s="71">
        <v>45716</v>
      </c>
      <c r="I164" s="57" t="str">
        <f>IFERROR(#REF!+#REF!,"")</f>
        <v/>
      </c>
    </row>
    <row r="165" spans="2:9" x14ac:dyDescent="0.3">
      <c r="B165" s="47">
        <v>1001812262</v>
      </c>
      <c r="C165" s="48" t="s">
        <v>53</v>
      </c>
      <c r="D165" s="49">
        <v>532</v>
      </c>
      <c r="E165" s="44">
        <v>3218098350</v>
      </c>
      <c r="F165" s="60">
        <v>45678</v>
      </c>
      <c r="G165" s="60">
        <v>45688</v>
      </c>
      <c r="H165" s="71">
        <v>45716</v>
      </c>
      <c r="I165" s="57" t="str">
        <f>IFERROR(#REF!+#REF!,"")</f>
        <v/>
      </c>
    </row>
    <row r="166" spans="2:9" x14ac:dyDescent="0.3">
      <c r="B166" s="47">
        <v>1037572152</v>
      </c>
      <c r="C166" s="48" t="s">
        <v>58</v>
      </c>
      <c r="D166" s="49">
        <v>851</v>
      </c>
      <c r="E166" s="44">
        <v>3045241530</v>
      </c>
      <c r="F166" s="60">
        <v>45685</v>
      </c>
      <c r="G166" s="60">
        <v>45688</v>
      </c>
      <c r="H166" s="71">
        <v>45716</v>
      </c>
      <c r="I166" s="57" t="str">
        <f>IFERROR(#REF!+#REF!,"")</f>
        <v/>
      </c>
    </row>
    <row r="167" spans="2:9" x14ac:dyDescent="0.3">
      <c r="B167" s="47">
        <v>1193219755</v>
      </c>
      <c r="C167" s="48" t="s">
        <v>59</v>
      </c>
      <c r="D167" s="49">
        <v>862</v>
      </c>
      <c r="E167" s="44">
        <v>3007017221</v>
      </c>
      <c r="F167" s="60">
        <v>45685</v>
      </c>
      <c r="G167" s="60">
        <v>45688</v>
      </c>
      <c r="H167" s="71">
        <v>45716</v>
      </c>
      <c r="I167" s="57" t="str">
        <f>IFERROR(#REF!+#REF!,"")</f>
        <v/>
      </c>
    </row>
    <row r="168" spans="2:9" x14ac:dyDescent="0.3">
      <c r="B168" s="44">
        <v>78078872</v>
      </c>
      <c r="C168" s="41" t="s">
        <v>61</v>
      </c>
      <c r="D168" s="49">
        <v>894</v>
      </c>
      <c r="E168" s="44">
        <v>3207375409</v>
      </c>
      <c r="F168" s="60">
        <v>45686</v>
      </c>
      <c r="G168" s="60">
        <v>45688</v>
      </c>
      <c r="H168" s="71">
        <v>45716</v>
      </c>
      <c r="I168" s="57" t="str">
        <f>IFERROR(#REF!+#REF!,"")</f>
        <v/>
      </c>
    </row>
    <row r="169" spans="2:9" x14ac:dyDescent="0.3">
      <c r="B169" s="44">
        <v>78078872</v>
      </c>
      <c r="C169" s="41" t="s">
        <v>61</v>
      </c>
      <c r="D169" s="49">
        <v>895</v>
      </c>
      <c r="E169" s="44">
        <v>3207375409</v>
      </c>
      <c r="F169" s="60">
        <v>45686</v>
      </c>
      <c r="G169" s="60">
        <v>45688</v>
      </c>
      <c r="H169" s="71">
        <v>45716</v>
      </c>
      <c r="I169" s="57" t="str">
        <f>IFERROR(#REF!+#REF!,"")</f>
        <v/>
      </c>
    </row>
    <row r="170" spans="2:9" x14ac:dyDescent="0.3">
      <c r="B170" s="47">
        <v>1110570952</v>
      </c>
      <c r="C170" s="48" t="s">
        <v>70</v>
      </c>
      <c r="D170" s="49">
        <v>949</v>
      </c>
      <c r="E170" s="44">
        <v>3103328757</v>
      </c>
      <c r="F170" s="60">
        <v>45688</v>
      </c>
      <c r="G170" s="71">
        <v>45692</v>
      </c>
      <c r="H170" s="71">
        <v>45716</v>
      </c>
      <c r="I170" s="57" t="str">
        <f>IFERROR(#REF!+#REF!,"")</f>
        <v/>
      </c>
    </row>
    <row r="171" spans="2:9" x14ac:dyDescent="0.3">
      <c r="B171" s="47">
        <v>71690439</v>
      </c>
      <c r="C171" s="48" t="s">
        <v>71</v>
      </c>
      <c r="D171" s="49">
        <v>963</v>
      </c>
      <c r="E171" s="44">
        <v>3006613319</v>
      </c>
      <c r="F171" s="60">
        <v>45688</v>
      </c>
      <c r="G171" s="71">
        <v>45692</v>
      </c>
      <c r="H171" s="71">
        <v>45716</v>
      </c>
      <c r="I171" s="57" t="str">
        <f>IFERROR(#REF!+#REF!,"")</f>
        <v/>
      </c>
    </row>
    <row r="172" spans="2:9" x14ac:dyDescent="0.3">
      <c r="B172" s="47">
        <v>71690439</v>
      </c>
      <c r="C172" s="48" t="s">
        <v>71</v>
      </c>
      <c r="D172" s="49">
        <v>964</v>
      </c>
      <c r="E172" s="44">
        <v>3006613319</v>
      </c>
      <c r="F172" s="60">
        <v>45688</v>
      </c>
      <c r="G172" s="71">
        <v>45692</v>
      </c>
      <c r="H172" s="71">
        <v>45716</v>
      </c>
      <c r="I172" s="57" t="str">
        <f>IFERROR(#REF!+#REF!,"")</f>
        <v/>
      </c>
    </row>
    <row r="173" spans="2:9" x14ac:dyDescent="0.3">
      <c r="B173" s="47">
        <v>1047413742</v>
      </c>
      <c r="C173" s="48" t="s">
        <v>82</v>
      </c>
      <c r="D173" s="49">
        <v>972</v>
      </c>
      <c r="E173" s="44">
        <v>3016311493</v>
      </c>
      <c r="F173" s="60">
        <v>45688</v>
      </c>
      <c r="G173" s="71">
        <v>45692</v>
      </c>
      <c r="H173" s="71">
        <v>45716</v>
      </c>
      <c r="I173" s="57" t="str">
        <f>IFERROR(#REF!+#REF!,"")</f>
        <v/>
      </c>
    </row>
    <row r="174" spans="2:9" x14ac:dyDescent="0.3">
      <c r="B174" s="47">
        <v>1110570952</v>
      </c>
      <c r="C174" s="48" t="s">
        <v>70</v>
      </c>
      <c r="D174" s="49">
        <v>977</v>
      </c>
      <c r="E174" s="44">
        <v>3103328757</v>
      </c>
      <c r="F174" s="60">
        <v>45688</v>
      </c>
      <c r="G174" s="71">
        <v>45692</v>
      </c>
      <c r="H174" s="71">
        <v>45716</v>
      </c>
      <c r="I174" s="57" t="str">
        <f>IFERROR(#REF!+#REF!,"")</f>
        <v/>
      </c>
    </row>
    <row r="175" spans="2:9" x14ac:dyDescent="0.3">
      <c r="B175" s="44" t="s">
        <v>414</v>
      </c>
      <c r="C175" s="41"/>
      <c r="D175" s="49">
        <f>SUBTOTAL(103,Notificaciones[RADICADO])</f>
        <v>170</v>
      </c>
      <c r="E175" s="44"/>
      <c r="F175" s="41"/>
      <c r="G175" s="44"/>
      <c r="H175" s="44"/>
      <c r="I175" s="57"/>
    </row>
  </sheetData>
  <mergeCells count="3">
    <mergeCell ref="B1:C1"/>
    <mergeCell ref="B3:I3"/>
    <mergeCell ref="D1:I1"/>
  </mergeCells>
  <phoneticPr fontId="3" type="noConversion"/>
  <dataValidations count="1">
    <dataValidation type="date" allowBlank="1" showInputMessage="1" showErrorMessage="1" sqref="H97 H5 H7:H11 F156 H114:H117 H111:H112 H107 H109 H101:H102 H99 H29:H31 H13:H26 F5:G155 F157:G162" xr:uid="{4035571D-67C4-4700-BC10-58752D325EB9}">
      <formula1>45474</formula1>
      <formula2>45838</formula2>
    </dataValidation>
  </dataValidation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FB8CC47DE3543468E093AE1744568AE" ma:contentTypeVersion="4" ma:contentTypeDescription="Crear nuevo documento." ma:contentTypeScope="" ma:versionID="e33995307c61590589c9127e2ded3821">
  <xsd:schema xmlns:xsd="http://www.w3.org/2001/XMLSchema" xmlns:xs="http://www.w3.org/2001/XMLSchema" xmlns:p="http://schemas.microsoft.com/office/2006/metadata/properties" xmlns:ns2="cefc5879-484c-4fa0-8f06-6fc845e545dc" targetNamespace="http://schemas.microsoft.com/office/2006/metadata/properties" ma:root="true" ma:fieldsID="79ab888b6f3d6a9a8bf7b4fff1a2b81f" ns2:_="">
    <xsd:import namespace="cefc5879-484c-4fa0-8f06-6fc845e545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fc5879-484c-4fa0-8f06-6fc845e54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353576-972C-442E-A38D-5AF3057A8E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fc5879-484c-4fa0-8f06-6fc845e54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018871-9FE8-406F-8BCB-B826EE9BB8A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4CE7A1F-E57B-41EE-9F44-0ADE49FA32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Ficha de datos</vt:lpstr>
      <vt:lpstr>Tabla Calif. Puntos</vt:lpstr>
      <vt:lpstr>Puntos acumulados</vt:lpstr>
      <vt:lpstr>Tabla Premios</vt:lpstr>
      <vt:lpstr>Redención Puntos</vt:lpstr>
      <vt:lpstr>Notificaciones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Alejandra Aguirre Toro</dc:creator>
  <cp:keywords/>
  <dc:description/>
  <cp:lastModifiedBy>Luis Felipe Zapata Valencia</cp:lastModifiedBy>
  <cp:revision/>
  <dcterms:created xsi:type="dcterms:W3CDTF">2024-03-13T15:55:16Z</dcterms:created>
  <dcterms:modified xsi:type="dcterms:W3CDTF">2025-12-28T14:57:31Z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0x0101005FB8CC47DE3543468E093AE1744568AE</vt:lpwstr>
  </property>
  <property fmtid="{D5CDD505-2E9C-101B-9397-08002B2CF9AE}" pid="3" name="Order">
    <vt:r8>3338200</vt:r8>
  </property>
  <property fmtid="{D5CDD505-2E9C-101B-9397-08002B2CF9AE}" pid="4" name="GUID">
    <vt:lpwstr>bd63b7a1-204e-4695-a9b9-3f91a4ca1fe0</vt:lpwstr>
  </property>
  <property fmtid="{D5CDD505-2E9C-101B-9397-08002B2CF9AE}" pid="5" name="TriggerFlowInfo">
    <vt:lpwstr/>
  </property>
  <property fmtid="{D5CDD505-2E9C-101B-9397-08002B2CF9AE}" pid="6" name="ComplianceAssetId">
    <vt:lpwstr/>
  </property>
  <property fmtid="{D5CDD505-2E9C-101B-9397-08002B2CF9AE}" pid="7" name="_activity">
    <vt:lpwstr>{"FileActivityType":"9","FileActivityTimeStamp":"2025-01-19T06:50:16.487Z","FileActivityUsersOnPage":[{"DisplayName":"Aplicación de SharePoint","Id":"app@sharepoint"}],"FileActivityNavigationId":null}</vt:lpwstr>
  </property>
  <property fmtid="{D5CDD505-2E9C-101B-9397-08002B2CF9AE}" pid="8" name="_ExtendedDescription">
    <vt:lpwstr/>
  </property>
</Properties>
</file>